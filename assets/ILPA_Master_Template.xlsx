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ing Template" sheetId="1" state="visible" r:id="rId3"/>
    <sheet name="Cross-Chec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<sst xmlns="http://schemas.openxmlformats.org/spreadsheetml/2006/main" count="197" uniqueCount="181">
  <si>
    <t xml:space="preserve">ILPA Reporting Template (v. 1.1) - This packet was last updated on Oct. 17, 2016</t>
  </si>
  <si>
    <t xml:space="preserve">Inception Start:</t>
  </si>
  <si>
    <t xml:space="preserve">The Veritas Capital Fund V, LP</t>
  </si>
  <si>
    <t xml:space="preserve">QTD</t>
  </si>
  <si>
    <t xml:space="preserve">YTD</t>
  </si>
  <si>
    <t xml:space="preserve">Since Inception</t>
  </si>
  <si>
    <t xml:space="preserve">Current Year Start:</t>
  </si>
  <si>
    <t xml:space="preserve">Current Period Start:</t>
  </si>
  <si>
    <t xml:space="preserve">Period End:</t>
  </si>
  <si>
    <t xml:space="preserve">A. Capital Account Statement for Investor Name</t>
  </si>
  <si>
    <t xml:space="preserve">A.1 NAV Reconciliation and Summary of Fees, Expenses &amp; Incentive Allocation</t>
  </si>
  <si>
    <t xml:space="preserve">Investor's Allocation of Total Fund</t>
  </si>
  <si>
    <t xml:space="preserve">Total Fund (incl. GP Allocation)</t>
  </si>
  <si>
    <t xml:space="preserve">GP's Allocation of Total Fund</t>
  </si>
  <si>
    <t xml:space="preserve">Beginning NAV - Net of Incentive Allocation</t>
  </si>
  <si>
    <t xml:space="preserve">Contributions - Cash &amp; Non-Cash</t>
  </si>
  <si>
    <t xml:space="preserve">Distributions - Cash &amp; Non-Cash (input positive values)</t>
  </si>
  <si>
    <t xml:space="preserve">Total Cash / Non-Cash Flows (contributions, less distributions)</t>
  </si>
  <si>
    <t xml:space="preserve">Net Operating Income (Expense):</t>
  </si>
  <si>
    <t xml:space="preserve">(Management Fees – Gross of Offsets, Waivers &amp; Rebates):</t>
  </si>
  <si>
    <t xml:space="preserve">Management Fee Rebate</t>
  </si>
  <si>
    <t xml:space="preserve">(Partnership Expenses - Total):</t>
  </si>
  <si>
    <t xml:space="preserve">(Partnership Expenses – Accounting, Administration &amp; IT)</t>
  </si>
  <si>
    <t xml:space="preserve">(Partnership Expenses – Audit &amp; Tax Preparatory)</t>
  </si>
  <si>
    <t xml:space="preserve">(Partnership Expenses – Bank Fees)</t>
  </si>
  <si>
    <t xml:space="preserve">(Partnership Expenses – Custody Fees)</t>
  </si>
  <si>
    <t xml:space="preserve">(Partnership Expenses – Due Diligence)</t>
  </si>
  <si>
    <t xml:space="preserve">(Partnership Expenses – Legal)</t>
  </si>
  <si>
    <t xml:space="preserve">(Partnership Expenses – Organization Costs)</t>
  </si>
  <si>
    <t xml:space="preserve">(Partnership Expenses – Other Travel &amp; Entertainment)</t>
  </si>
  <si>
    <t xml:space="preserve">(Partnership Expenses – Other+)</t>
  </si>
  <si>
    <t xml:space="preserve">Total Offsets to Fees &amp; Expenses (applied during period):</t>
  </si>
  <si>
    <t xml:space="preserve">Offset Categories</t>
  </si>
  <si>
    <t xml:space="preserve">% Offset to Investor</t>
  </si>
  <si>
    <t xml:space="preserve">Advisory Fee Offset</t>
  </si>
  <si>
    <t xml:space="preserve">Broken Deal Fee Offset</t>
  </si>
  <si>
    <t xml:space="preserve">Transaction &amp; Deal Fee Offset</t>
  </si>
  <si>
    <t xml:space="preserve">Directors Fee Offset</t>
  </si>
  <si>
    <t xml:space="preserve">Monitoring Fee Offset</t>
  </si>
  <si>
    <t xml:space="preserve">Capital Markets Fee Offset</t>
  </si>
  <si>
    <t xml:space="preserve">Organization Cost Offset</t>
  </si>
  <si>
    <t xml:space="preserve">Placement Fee Offset</t>
  </si>
  <si>
    <t xml:space="preserve">Other Offset+</t>
  </si>
  <si>
    <t xml:space="preserve">Reconciliation for Unapplied Offset Balance (Roll-forward)</t>
  </si>
  <si>
    <t xml:space="preserve">Unapplied Offset Balance (Roll-forward) - Beginning Balance</t>
  </si>
  <si>
    <t xml:space="preserve">Plus: Total Offsets to Fees &amp; Expenses (recognized during period)</t>
  </si>
  <si>
    <t xml:space="preserve">Less: Total Offsets to Fees &amp; Expenses (applied during period)</t>
  </si>
  <si>
    <t xml:space="preserve">Unapplied Offset Balance (Roll-forward) - Ending Balance</t>
  </si>
  <si>
    <t xml:space="preserve">(Total Management Fees &amp; Partnership Expenses, Net of Offsets &amp; Rebates, Gross of Fee Waiver)</t>
  </si>
  <si>
    <t xml:space="preserve">Fee Waiver</t>
  </si>
  <si>
    <t xml:space="preserve">Interest Income</t>
  </si>
  <si>
    <t xml:space="preserve">Dividend Income</t>
  </si>
  <si>
    <t xml:space="preserve">(Interest Expense)</t>
  </si>
  <si>
    <t xml:space="preserve">Other Income/(Expense)+</t>
  </si>
  <si>
    <t xml:space="preserve">Total Net Operating Income / (Expense)</t>
  </si>
  <si>
    <t xml:space="preserve">(Placement Fees)</t>
  </si>
  <si>
    <t xml:space="preserve">Realized Gain / (Loss)</t>
  </si>
  <si>
    <t xml:space="preserve">Change in Unrealized Gain / (Loss)</t>
  </si>
  <si>
    <t xml:space="preserve">Ending NAV - Net of Incentive Allocation</t>
  </si>
  <si>
    <t xml:space="preserve">Reconciliation for Accrued Incentive Allocation</t>
  </si>
  <si>
    <t xml:space="preserve">Accrued Incentive Allocation - Starting Period Balance</t>
  </si>
  <si>
    <t xml:space="preserve">Incentive Allocation - Paid During the Period</t>
  </si>
  <si>
    <t xml:space="preserve">Accrued Incentive Allocation - Periodic Change</t>
  </si>
  <si>
    <t xml:space="preserve">Accrued Incentive Allocation - Ending Period Balance</t>
  </si>
  <si>
    <t xml:space="preserve">Ending NAV - Gross of Accrued Incentive Allocation</t>
  </si>
  <si>
    <t xml:space="preserve">A.2 Commitment Reconciliation:</t>
  </si>
  <si>
    <t xml:space="preserve">Total Commitment</t>
  </si>
  <si>
    <t xml:space="preserve">Beginning Unfunded Commitment:</t>
  </si>
  <si>
    <t xml:space="preserve">(Less Contributions)</t>
  </si>
  <si>
    <t xml:space="preserve">Plus Recallable Distributions</t>
  </si>
  <si>
    <t xml:space="preserve">(Less Expired/Released Commitments)</t>
  </si>
  <si>
    <t xml:space="preserve">+/- Other Unfunded Adjustment</t>
  </si>
  <si>
    <t xml:space="preserve">Ending Unfunded Commitment</t>
  </si>
  <si>
    <t xml:space="preserve">A.3 Miscellaneous** (input positive values):</t>
  </si>
  <si>
    <t xml:space="preserve">Incentive Allocation - Earned (period-end balance)****</t>
  </si>
  <si>
    <t xml:space="preserve">Incentive Allocation - Amount Held in Escrow (period-end balance)****</t>
  </si>
  <si>
    <t xml:space="preserve">Returned Clawback****</t>
  </si>
  <si>
    <t xml:space="preserve">Capitalized Transaction Fees &amp; Exp. - Paid to Non-Related Parties****</t>
  </si>
  <si>
    <t xml:space="preserve">Distributions Relating to Fees &amp; Expenses****</t>
  </si>
  <si>
    <t xml:space="preserve">Fund of Funds: Gross Fees, Exp. &amp; Incentive Allocation paid to the Underlying Funds****</t>
  </si>
  <si>
    <t xml:space="preserve">B. Schedule of Fees, Incentive Allocation &amp; Reimbursements Received by the GP &amp; Related Parties, with Respect to the Fund and Portfolio Companies/Investments Held by the Fund</t>
  </si>
  <si>
    <t xml:space="preserve">B.1 Source Allocation:</t>
  </si>
  <si>
    <t xml:space="preserve">Cumulative LPs' Allocation of Total Fund</t>
  </si>
  <si>
    <t xml:space="preserve">Affiliated Positions***</t>
  </si>
  <si>
    <t xml:space="preserve">With Respect to 
the Fund's LPs</t>
  </si>
  <si>
    <t xml:space="preserve">Management Fees - Net of Rebates, Gross of Offsets and Waivers</t>
  </si>
  <si>
    <t xml:space="preserve">Partnership Expenses - Paid to GP &amp; Related Parties - Gross of Offsets</t>
  </si>
  <si>
    <t xml:space="preserve">(Less Total Offsets to Fees &amp; Expenses - applied during period)</t>
  </si>
  <si>
    <t xml:space="preserve">Capitalized Transaction Fees &amp; Exp. - Paid to GP &amp; Related Parties****</t>
  </si>
  <si>
    <t xml:space="preserve">With Respect to the Fund's Portfolio Companies/ Invs.</t>
  </si>
  <si>
    <t xml:space="preserve">Total Fees with Respect to Portfolio Companies/Investments:</t>
  </si>
  <si>
    <t xml:space="preserve">Advisory Fees****</t>
  </si>
  <si>
    <t xml:space="preserve">Broken Deal Fees****</t>
  </si>
  <si>
    <t xml:space="preserve">Transaction &amp; Deal Fees****</t>
  </si>
  <si>
    <t xml:space="preserve">Directors Fees****</t>
  </si>
  <si>
    <t xml:space="preserve">Monitoring Fees****</t>
  </si>
  <si>
    <t xml:space="preserve">Capital Markets Fees****</t>
  </si>
  <si>
    <t xml:space="preserve">Other Fees****, +</t>
  </si>
  <si>
    <t xml:space="preserve">Total Reimbursements for Travel &amp; Administrative Expenses****</t>
  </si>
  <si>
    <t xml:space="preserve">Total Received by the GP &amp; Related Parties</t>
  </si>
  <si>
    <t xml:space="preserve">*Current offset percentages for the specific LP; As offset calculations may change over the life of the Fund, the current offset percentages may not be applicable for calculating the non-QTD offset balances</t>
  </si>
  <si>
    <t xml:space="preserve">**Content in A.3 aims to provide users with additional context on the balances provided in other sections;  Some of the balances in A.3 represent a sub-total for an amount provided in another section;  Balances in this section should be entered as a positive amount, even though similar balances in other sections may typically be presented as a negative amount; To prevent double-counting, or other miscalculations, users should avoid netting balances in A.3 with amounts in other sections</t>
  </si>
  <si>
    <t xml:space="preserve">***Balances in this section represent fees &amp; reimbursements received by the GP/Manager/Related Parties with respect to the Fund's investments that are not allocable to the Total Fund (i.e. allocated to ownership interests of LP co-investors &amp; other vehicles managed-by/affiliated-with the GP/Manager/Related Party); To avoid double-counting, LP # 5's Allocation of Total Fund should not reflect any pro-rata share of these positions; Balances in this section, plus the balances in the "Cumulative LPs' Allocation of Total Fund" section, should equal the total fees/reimbursements received by the GP/Manager/Related Parties With Respect to the Fund's Portfolio Companies/Invs.</t>
  </si>
  <si>
    <t xml:space="preserve">****Allocation for individual LPs, the Total Fund and all remaining positions may need to be estimated on a pro-rata basis</t>
  </si>
  <si>
    <t xml:space="preserve">+A description should be provided in the footnote section for any amount(s) listed in this row for the year-to-date period</t>
  </si>
  <si>
    <t xml:space="preserve">Shaded/Italicized/Grouped Content Represents Level 2 Data</t>
  </si>
  <si>
    <t xml:space="preserve">Footnotes for any YTD (Total Fund) expenses, fees &amp; offsets (including any "other" balances)</t>
  </si>
  <si>
    <t xml:space="preserve">ILPA LP Section — Cross-Check &amp; Reconciliation</t>
  </si>
  <si>
    <t xml:space="preserve">Enter PDF values in the orange column. Green = match · Red = discrepancy. Fix discrepancies in Reporting Template before delivering.</t>
  </si>
  <si>
    <t xml:space="preserve">Check Item</t>
  </si>
  <si>
    <t xml:space="preserve">PDF Value
(enter here)</t>
  </si>
  <si>
    <t xml:space="preserve">Template Computed
(auto-formula)</t>
  </si>
  <si>
    <t xml:space="preserve">Difference</t>
  </si>
  <si>
    <t xml:space="preserve">Status</t>
  </si>
  <si>
    <t xml:space="preserve">Notes / What to check if it fails</t>
  </si>
  <si>
    <t xml:space="preserve">A.1  NAV Reconciliation</t>
  </si>
  <si>
    <t xml:space="preserve">Ending NAV — Net (QTD)</t>
  </si>
  <si>
    <t xml:space="preserve">Check all 6 inputs to E51: rows 9,10,11,47,48,49,50</t>
  </si>
  <si>
    <t xml:space="preserve">Ending NAV — Net (YTD)</t>
  </si>
  <si>
    <t xml:space="preserve">YTD: verify F9 = Q1 beginning NAV; check F10,F50</t>
  </si>
  <si>
    <t xml:space="preserve">Ending NAV — Net (SI)</t>
  </si>
  <si>
    <t xml:space="preserve">SI: verify G9=0, G10=cumulative contributions, G50=SI unrealised</t>
  </si>
  <si>
    <t xml:space="preserve">Ending NAV — Gross (QTD)</t>
  </si>
  <si>
    <t xml:space="preserve">Gross = Net − Carry End. Check E55 (carry) if wrong</t>
  </si>
  <si>
    <t xml:space="preserve">Carry Ending Balance (QTD)</t>
  </si>
  <si>
    <t xml:space="preserve">Carry end = start + paid + periodic change (rows 52+53+54)</t>
  </si>
  <si>
    <t xml:space="preserve">Total Net Op Income (QTD)</t>
  </si>
  <si>
    <t xml:space="preserve">Check rows 41-46. Most common: wrong sign on interest expense</t>
  </si>
  <si>
    <t xml:space="preserve">Net Mgmt Fees &amp; Exp (QTD)</t>
  </si>
  <si>
    <t xml:space="preserve">E14+E15+E16+E26. If wrong: check row 16 sub-rows vs row 26</t>
  </si>
  <si>
    <t xml:space="preserve">Partnership Exp Total (QTD)</t>
  </si>
  <si>
    <t xml:space="preserve">SUM(E17:E25). Enter expenses in sub-rows only, never in E16</t>
  </si>
  <si>
    <t xml:space="preserve">Offset Roll-Forward — Double-Count Check</t>
  </si>
  <si>
    <t xml:space="preserve">Offsets Applied (QTD) = Offset sub-cats</t>
  </si>
  <si>
    <t xml:space="preserve">E38=SUM(E28:E36). Must equal E26 when unapplied balance is zero</t>
  </si>
  <si>
    <t xml:space="preserve">Unapplied Offset Ending (QTD)</t>
  </si>
  <si>
    <t xml:space="preserve">E37+E38-E39. Should match PDF unapplied balance. Common error: using + instead of -</t>
  </si>
  <si>
    <t xml:space="preserve">Offset % check — Monitoring</t>
  </si>
  <si>
    <t xml:space="preserve">Enter monitoring fee credits. Should sum with other sub-cats to match E26</t>
  </si>
  <si>
    <t xml:space="preserve">Offset % check — Transaction</t>
  </si>
  <si>
    <t xml:space="preserve">Enter transaction fee credits. Often appears in SI column only</t>
  </si>
  <si>
    <t xml:space="preserve">A.2  Commitment Reconciliation</t>
  </si>
  <si>
    <t xml:space="preserve">Ending Unfunded (QTD)</t>
  </si>
  <si>
    <t xml:space="preserve">SUM(E60:E64). Check E60=prior unfunded, E61=negative contribution</t>
  </si>
  <si>
    <t xml:space="preserve">Ending Unfunded (SI)</t>
  </si>
  <si>
    <t xml:space="preserve">G60=E59 (=total commitment). G61=negative of all SI contributions</t>
  </si>
  <si>
    <t xml:space="preserve">Hard input. F59/G59 are formulas =E59. Never enter F or G separately</t>
  </si>
  <si>
    <t xml:space="preserve">Period Continuity Checks</t>
  </si>
  <si>
    <t xml:space="preserve">Beginning NAV (QTD E9) = Prior Ending NAV</t>
  </si>
  <si>
    <t xml:space="preserve">E9 must equal the prior quarter E51 to the dollar</t>
  </si>
  <si>
    <t xml:space="preserve">YTD Mgmt Fee = Sum of All QTDs</t>
  </si>
  <si>
    <t xml:space="preserve">F14 must equal sum of all quarterly E14 values year-to-date</t>
  </si>
  <si>
    <t xml:space="preserve">QTD contributions = Change in committed capital</t>
  </si>
  <si>
    <t xml:space="preserve">Compare E10 to change in E65 vs prior quarter — should reconcile</t>
  </si>
  <si>
    <t xml:space="preserve">Sign Convention &amp; Double-Count Rules — Reference</t>
  </si>
  <si>
    <t xml:space="preserve">Management fees (E14)</t>
  </si>
  <si>
    <t xml:space="preserve">NEGATIVE</t>
  </si>
  <si>
    <t xml:space="preserve">Costs to LP are negative in A.1</t>
  </si>
  <si>
    <t xml:space="preserve">Distributions (E11)</t>
  </si>
  <si>
    <t xml:space="preserve">POSITIVE</t>
  </si>
  <si>
    <t xml:space="preserve">Template instruction: input positive values</t>
  </si>
  <si>
    <t xml:space="preserve">Offsets applied (E26)</t>
  </si>
  <si>
    <t xml:space="preserve">Credits back to LP are positive in A.1</t>
  </si>
  <si>
    <t xml:space="preserve">B.1 Mgmt Fees (E77)</t>
  </si>
  <si>
    <t xml:space="preserve">POSITIVE AUTO</t>
  </si>
  <si>
    <t xml:space="preserve">Formula =-(E14+E15) flips sign. Never enter manually</t>
  </si>
  <si>
    <t xml:space="preserve">B.1 Offsets (E79)</t>
  </si>
  <si>
    <t xml:space="preserve">NEGATIVE AUTO</t>
  </si>
  <si>
    <t xml:space="preserve">Formula =-E26 flips sign. Never enter manually</t>
  </si>
  <si>
    <t xml:space="preserve">A.3 IA Earned (E68)</t>
  </si>
  <si>
    <t xml:space="preserve">Template: input positive even though economic cost</t>
  </si>
  <si>
    <t xml:space="preserve">Interest expense (E45)</t>
  </si>
  <si>
    <t xml:space="preserve">Cost to LP. Enter as negative number</t>
  </si>
  <si>
    <t xml:space="preserve">Partnership sub-rows 17-25</t>
  </si>
  <si>
    <t xml:space="preserve">Costs. Enter negative. Row 16 is formula — do NOT enter there</t>
  </si>
  <si>
    <t xml:space="preserve">Offset sub-rows 28-36</t>
  </si>
  <si>
    <t xml:space="preserve">Credits. Row 38 sums these. Row 26 is the applied total</t>
  </si>
  <si>
    <t xml:space="preserve">Carry periodic change (E54)</t>
  </si>
  <si>
    <t xml:space="preserve">VARIES</t>
  </si>
  <si>
    <t xml:space="preserve">Negative when carry increases. Positive when carry unwinds</t>
  </si>
  <si>
    <t xml:space="preserve">Colour Legend:  🟡 Orange = Input cells (enter from PDF)   🔵 Blue = Formula cells (auto-computed, never edit)   🟢 Green = Check passed   🔴 Red = Discrepancy found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</si>
</sst>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yy"/>
    <numFmt numFmtId="166" formatCode="0%"/>
    <numFmt numFmtId="167" formatCode="mmm\-yy\)"/>
    <numFmt numFmtId="168" formatCode="\$#,##0.00"/>
    <numFmt numFmtId="169" formatCode="\$#,##0_);&quot;($&quot;#,##0\)"/>
    <numFmt numFmtId="170" formatCode="#,##0;\-#,##0"/>
    <numFmt numFmtId="171" formatCode="_-* #,##0.00_-;\-* #,##0.00_-;_-* \-??_-;_-@_-"/>
    <numFmt numFmtId="172" formatCode="0.000%"/>
    <numFmt numFmtId="173" formatCode="\$#,##0"/>
    <numFmt numFmtId="174" formatCode="#,##0;\(#,##0\)"/>
  </numFmts>
  <fonts count="40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i val="true"/>
      <sz val="10"/>
      <color rgb="FFFF0000"/>
      <name val="Arial"/>
      <family val="0"/>
      <charset val="1"/>
    </font>
    <font>
      <sz val="9"/>
      <color rgb="FF00B0F0"/>
      <name val="Arial"/>
      <family val="0"/>
      <charset val="1"/>
    </font>
    <font>
      <b val="true"/>
      <i val="true"/>
      <sz val="12"/>
      <name val="Arial"/>
      <family val="0"/>
      <charset val="1"/>
    </font>
    <font>
      <b val="true"/>
      <u val="single"/>
      <sz val="9"/>
      <name val="Arial"/>
      <family val="0"/>
      <charset val="1"/>
    </font>
    <font>
      <b val="true"/>
      <i val="true"/>
      <sz val="11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B2D4F"/>
      <name val="Calibri"/>
      <family val="0"/>
      <charset val="1"/>
    </font>
    <font>
      <b val="true"/>
      <sz val="9"/>
      <color rgb="FF00B0F0"/>
      <name val="Arial"/>
      <family val="0"/>
      <charset val="1"/>
    </font>
    <font>
      <i val="true"/>
      <sz val="10"/>
      <color rgb="FF1A4F8A"/>
      <name val="Calibri"/>
      <family val="0"/>
      <charset val="1"/>
    </font>
    <font>
      <b val="true"/>
      <sz val="9"/>
      <name val="Arial"/>
      <family val="0"/>
      <charset val="1"/>
    </font>
    <font>
      <sz val="10"/>
      <name val="Arial"/>
      <family val="0"/>
      <charset val="1"/>
    </font>
    <font>
      <sz val="9"/>
      <color rgb="FF0070C0"/>
      <name val="Arial"/>
      <family val="0"/>
      <charset val="1"/>
    </font>
    <font>
      <i val="true"/>
      <sz val="9"/>
      <color rgb="FF0070C0"/>
      <name val="Arial"/>
      <family val="0"/>
      <charset val="1"/>
    </font>
    <font>
      <b val="true"/>
      <i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00B0F0"/>
      <name val="Arial"/>
      <family val="0"/>
      <charset val="1"/>
    </font>
    <font>
      <vertAlign val="superscript"/>
      <sz val="9"/>
      <name val="Arial"/>
      <family val="0"/>
      <charset val="1"/>
    </font>
    <font>
      <b val="true"/>
      <i val="true"/>
      <u val="single"/>
      <sz val="9"/>
      <name val="Arial"/>
      <family val="0"/>
      <charset val="1"/>
    </font>
    <font>
      <i val="true"/>
      <u val="single"/>
      <sz val="9"/>
      <name val="Arial"/>
      <family val="0"/>
      <charset val="1"/>
    </font>
    <font>
      <b val="true"/>
      <sz val="14"/>
      <color rgb="FFFFFFFF"/>
      <name val="Calibri"/>
      <family val="0"/>
      <charset val="1"/>
    </font>
    <font>
      <i val="true"/>
      <sz val="10"/>
      <color rgb="FF1B2D4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A4F8A"/>
      <name val="Calibri"/>
      <family val="0"/>
      <charset val="1"/>
    </font>
    <font>
      <sz val="10"/>
      <color rgb="FF3D383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7A5C10"/>
      <name val="Calibri"/>
      <family val="0"/>
      <charset val="1"/>
    </font>
    <font>
      <b val="true"/>
      <sz val="10"/>
      <color rgb="FF0D5C52"/>
      <name val="Calibri"/>
      <family val="0"/>
      <charset val="1"/>
    </font>
    <font>
      <b val="true"/>
      <sz val="10"/>
      <color rgb="FF4A2060"/>
      <name val="Calibri"/>
      <family val="0"/>
      <charset val="1"/>
    </font>
    <font>
      <b val="true"/>
      <sz val="10"/>
      <color rgb="FF8B3520"/>
      <name val="Calibri"/>
      <family val="0"/>
      <charset val="1"/>
    </font>
    <font>
      <b val="true"/>
      <sz val="10"/>
      <color rgb="FFC0392B"/>
      <name val="Calibri"/>
      <family val="0"/>
      <charset val="1"/>
    </font>
    <font>
      <b val="true"/>
      <sz val="10"/>
      <color rgb="FF1A5C3A"/>
      <name val="Calibri"/>
      <family val="0"/>
      <charset val="1"/>
    </font>
    <font>
      <b val="true"/>
      <i val="true"/>
      <sz val="10"/>
      <color rgb="FF1A4F8A"/>
      <name val="Calibri"/>
      <family val="0"/>
      <charset val="1"/>
    </font>
    <font>
      <i val="true"/>
      <sz val="9"/>
      <color rgb="FF3D3830"/>
      <name val="Calibri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9F9FA"/>
      </patternFill>
    </fill>
    <fill>
      <patternFill patternType="solid">
        <fgColor rgb="FFFFF0E6"/>
        <bgColor rgb="FFFDF3E3"/>
      </patternFill>
    </fill>
    <fill>
      <patternFill patternType="solid">
        <fgColor rgb="FFD6E4F7"/>
        <bgColor rgb="FFD6F5E3"/>
      </patternFill>
    </fill>
    <fill>
      <patternFill patternType="solid">
        <fgColor rgb="FFF9F9FA"/>
        <bgColor rgb="FFF8F8F8"/>
      </patternFill>
    </fill>
    <fill>
      <patternFill patternType="solid">
        <fgColor rgb="FFD5D5D6"/>
        <bgColor rgb="FFCCCCCC"/>
      </patternFill>
    </fill>
    <fill>
      <patternFill patternType="solid">
        <fgColor rgb="FFA6A6A6"/>
        <bgColor rgb="FF9999FF"/>
      </patternFill>
    </fill>
    <fill>
      <patternFill patternType="solid">
        <fgColor rgb="FF1B2D4F"/>
        <bgColor rgb="FF3D3830"/>
      </patternFill>
    </fill>
    <fill>
      <patternFill patternType="solid">
        <fgColor rgb="FFEFF6FF"/>
        <bgColor rgb="FFF8F8F8"/>
      </patternFill>
    </fill>
    <fill>
      <patternFill patternType="solid">
        <fgColor rgb="FFFDF3E3"/>
        <bgColor rgb="FFFFF0E6"/>
      </patternFill>
    </fill>
    <fill>
      <patternFill patternType="solid">
        <fgColor rgb="FFE8F4F2"/>
        <bgColor rgb="FFEFF6FF"/>
      </patternFill>
    </fill>
    <fill>
      <patternFill patternType="solid">
        <fgColor rgb="FFF5F0FA"/>
        <bgColor rgb="FFEFF6FF"/>
      </patternFill>
    </fill>
    <fill>
      <patternFill patternType="solid">
        <fgColor rgb="FFFFE8E8"/>
        <bgColor rgb="FFFFF0E6"/>
      </patternFill>
    </fill>
    <fill>
      <patternFill patternType="solid">
        <fgColor rgb="FFF8F8F8"/>
        <bgColor rgb="FFF9F9FA"/>
      </patternFill>
    </fill>
  </fills>
  <borders count="27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13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3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3" fillId="3" borderId="0" xfId="15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3" fillId="3" borderId="7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0" xfId="15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7" xfId="1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6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4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70" fontId="18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8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70" fontId="18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8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2" xfId="0" applyFont="true" applyBorder="true" applyAlignment="true" applyProtection="false">
      <alignment horizontal="left" vertical="center" textRotation="0" wrapText="true" indent="7" shrinkToFit="false"/>
      <protection locked="true" hidden="false"/>
    </xf>
    <xf numFmtId="170" fontId="19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9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6" xfId="0" applyFont="true" applyBorder="true" applyAlignment="true" applyProtection="false">
      <alignment horizontal="left" vertical="center" textRotation="0" wrapText="true" indent="7" shrinkToFit="false"/>
      <protection locked="true" hidden="false"/>
    </xf>
    <xf numFmtId="164" fontId="9" fillId="5" borderId="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1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8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left" vertical="center" textRotation="0" wrapText="true" indent="7" shrinkToFit="false"/>
      <protection locked="true" hidden="false"/>
    </xf>
    <xf numFmtId="166" fontId="5" fillId="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0" xfId="1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5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3" fillId="3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5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9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7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70" fontId="5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5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5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4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5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5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3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2" xfId="0" applyFont="true" applyBorder="true" applyAlignment="true" applyProtection="false">
      <alignment horizontal="left" vertical="center" textRotation="0" wrapText="false" indent="4" shrinkToFit="false"/>
      <protection locked="true" hidden="false"/>
    </xf>
    <xf numFmtId="164" fontId="4" fillId="2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1" fillId="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21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3" fillId="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7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7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2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1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9" fontId="4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70" fontId="22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0" fontId="22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13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2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2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4" fontId="13" fillId="3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15" fillId="4" borderId="2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31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1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9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1A5C3A"/>
      </font>
      <fill>
        <patternFill>
          <bgColor rgb="FFD6F5E3"/>
        </patternFill>
      </fill>
    </dxf>
    <dxf>
      <font>
        <b val="1"/>
        <color rgb="FFC0392B"/>
      </font>
      <fill>
        <patternFill>
          <bgColor rgb="FFFFD6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8F8F8"/>
      <rgbColor rgb="FFFF00FF"/>
      <rgbColor rgb="FF00FFFF"/>
      <rgbColor rgb="FF800000"/>
      <rgbColor rgb="FF1A5C3A"/>
      <rgbColor rgb="FF000080"/>
      <rgbColor rgb="FF7A5C10"/>
      <rgbColor rgb="FF800080"/>
      <rgbColor rgb="FF0D5C52"/>
      <rgbColor rgb="FFCCCCCC"/>
      <rgbColor rgb="FF808080"/>
      <rgbColor rgb="FF9999FF"/>
      <rgbColor rgb="FFC0392B"/>
      <rgbColor rgb="FFFDF3E3"/>
      <rgbColor rgb="FFE8F4F2"/>
      <rgbColor rgb="FF4A2060"/>
      <rgbColor rgb="FFFF8080"/>
      <rgbColor rgb="FF0070C0"/>
      <rgbColor rgb="FFD5D5D6"/>
      <rgbColor rgb="FF000080"/>
      <rgbColor rgb="FFFF00FF"/>
      <rgbColor rgb="FFF9F9FA"/>
      <rgbColor rgb="FF00FFFF"/>
      <rgbColor rgb="FF800080"/>
      <rgbColor rgb="FF800000"/>
      <rgbColor rgb="FF008080"/>
      <rgbColor rgb="FF0000FF"/>
      <rgbColor rgb="FF00B0F0"/>
      <rgbColor rgb="FFEFF6FF"/>
      <rgbColor rgb="FFD6F5E3"/>
      <rgbColor rgb="FFFFF0E6"/>
      <rgbColor rgb="FFD6E4F7"/>
      <rgbColor rgb="FFFFE8E8"/>
      <rgbColor rgb="FFF5F0FA"/>
      <rgbColor rgb="FFFFD6D6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B2D4F"/>
      <rgbColor rgb="FF339966"/>
      <rgbColor rgb="FF003300"/>
      <rgbColor rgb="FF333300"/>
      <rgbColor rgb="FF8B3520"/>
      <rgbColor rgb="FF993366"/>
      <rgbColor rgb="FF1A4F8A"/>
      <rgbColor rgb="FF3D38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16" activePane="bottomLeft" state="frozen"/>
      <selection pane="topLeft" activeCell="A1" activeCellId="0" sqref="A1"/>
      <selection pane="bottomLeft" activeCell="E14" activeCellId="0" sqref="E1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0" width="2.57"/>
    <col collapsed="false" customWidth="true" hidden="false" outlineLevel="0" max="2" min="2" style="0" width="25.85"/>
    <col collapsed="false" customWidth="true" hidden="false" outlineLevel="0" max="3" min="3" style="0" width="41.14"/>
    <col collapsed="false" customWidth="true" hidden="false" outlineLevel="0" max="4" min="4" style="0" width="16.85"/>
    <col collapsed="false" customWidth="true" hidden="false" outlineLevel="0" max="13" min="5" style="0" width="14.86"/>
    <col collapsed="false" customWidth="true" hidden="false" outlineLevel="0" max="14" min="14" style="0" width="8.58"/>
    <col collapsed="false" customWidth="true" hidden="false" outlineLevel="0" max="15" min="15" style="0" width="16.43"/>
    <col collapsed="false" customWidth="true" hidden="false" outlineLevel="0" max="16" min="16" style="0" width="9.86"/>
    <col collapsed="false" customWidth="true" hidden="false" outlineLevel="0" max="1025" min="17" style="0" width="8.58"/>
  </cols>
  <sheetData>
    <row r="1" customFormat="false" ht="1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1"/>
      <c r="P1" s="1"/>
    </row>
    <row r="2" customFormat="false" ht="1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4" t="s">
        <v>1</v>
      </c>
      <c r="P2" s="5" t="n">
        <v>42185</v>
      </c>
    </row>
    <row r="3" customFormat="false" ht="14.25" hidden="false" customHeight="true" outlineLevel="0" collapsed="false">
      <c r="A3" s="1"/>
      <c r="B3" s="6" t="s">
        <v>2</v>
      </c>
      <c r="C3" s="6"/>
      <c r="D3" s="6"/>
      <c r="E3" s="7" t="s">
        <v>3</v>
      </c>
      <c r="F3" s="8" t="s">
        <v>4</v>
      </c>
      <c r="G3" s="9" t="s">
        <v>5</v>
      </c>
      <c r="H3" s="7" t="s">
        <v>3</v>
      </c>
      <c r="I3" s="8" t="s">
        <v>4</v>
      </c>
      <c r="J3" s="9" t="s">
        <v>5</v>
      </c>
      <c r="K3" s="7" t="s">
        <v>3</v>
      </c>
      <c r="L3" s="8" t="s">
        <v>4</v>
      </c>
      <c r="M3" s="9" t="s">
        <v>5</v>
      </c>
      <c r="N3" s="2"/>
      <c r="O3" s="10" t="s">
        <v>6</v>
      </c>
      <c r="P3" s="11" t="n">
        <v>44562</v>
      </c>
    </row>
    <row r="4" customFormat="false" ht="15" hidden="false" customHeight="true" outlineLevel="0" collapsed="false">
      <c r="A4" s="1"/>
      <c r="B4" s="6"/>
      <c r="C4" s="6"/>
      <c r="D4" s="6"/>
      <c r="E4" s="12" t="n">
        <f aca="false">P4</f>
        <v>44652</v>
      </c>
      <c r="F4" s="12" t="n">
        <f aca="false">P3</f>
        <v>44562</v>
      </c>
      <c r="G4" s="12" t="n">
        <f aca="false">P2</f>
        <v>42185</v>
      </c>
      <c r="H4" s="12" t="n">
        <f aca="false">P4</f>
        <v>44652</v>
      </c>
      <c r="I4" s="12" t="n">
        <f aca="false">P3</f>
        <v>44562</v>
      </c>
      <c r="J4" s="12" t="n">
        <f aca="false">P2</f>
        <v>42185</v>
      </c>
      <c r="K4" s="12" t="n">
        <f aca="false">P4</f>
        <v>44652</v>
      </c>
      <c r="L4" s="12" t="n">
        <f aca="false">P3</f>
        <v>44562</v>
      </c>
      <c r="M4" s="12" t="n">
        <f aca="false">P2</f>
        <v>42185</v>
      </c>
      <c r="N4" s="2"/>
      <c r="O4" s="13" t="s">
        <v>7</v>
      </c>
      <c r="P4" s="11" t="n">
        <v>44652</v>
      </c>
    </row>
    <row r="5" customFormat="false" ht="15" hidden="false" customHeight="true" outlineLevel="0" collapsed="false">
      <c r="A5" s="1"/>
      <c r="B5" s="6"/>
      <c r="C5" s="6"/>
      <c r="D5" s="6"/>
      <c r="E5" s="14" t="n">
        <f aca="false">$P$5</f>
        <v>44742</v>
      </c>
      <c r="F5" s="12" t="n">
        <f aca="false">$P$5</f>
        <v>44742</v>
      </c>
      <c r="G5" s="15" t="n">
        <f aca="false">$P$5</f>
        <v>44742</v>
      </c>
      <c r="H5" s="14" t="n">
        <f aca="false">$P$5</f>
        <v>44742</v>
      </c>
      <c r="I5" s="12" t="n">
        <f aca="false">$P$5</f>
        <v>44742</v>
      </c>
      <c r="J5" s="15" t="n">
        <f aca="false">$P$5</f>
        <v>44742</v>
      </c>
      <c r="K5" s="14" t="n">
        <f aca="false">$P$5</f>
        <v>44742</v>
      </c>
      <c r="L5" s="12" t="n">
        <f aca="false">$P$5</f>
        <v>44742</v>
      </c>
      <c r="M5" s="15" t="n">
        <f aca="false">$P$5</f>
        <v>44742</v>
      </c>
      <c r="N5" s="2"/>
      <c r="O5" s="16" t="s">
        <v>8</v>
      </c>
      <c r="P5" s="17" t="n">
        <v>44742</v>
      </c>
    </row>
    <row r="6" customFormat="false" ht="15" hidden="false" customHeight="true" outlineLevel="0" collapsed="false">
      <c r="A6" s="1"/>
      <c r="B6" s="18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"/>
      <c r="O6" s="1"/>
      <c r="P6" s="1"/>
    </row>
    <row r="7" customFormat="false" ht="15" hidden="false" customHeight="true" outlineLevel="0" collapsed="false">
      <c r="A7" s="1"/>
      <c r="B7" s="20" t="s">
        <v>9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"/>
      <c r="O7" s="1"/>
      <c r="P7" s="21"/>
    </row>
    <row r="8" customFormat="false" ht="15" hidden="false" customHeight="true" outlineLevel="0" collapsed="false">
      <c r="A8" s="22"/>
      <c r="B8" s="23" t="s">
        <v>10</v>
      </c>
      <c r="C8" s="23"/>
      <c r="D8" s="23"/>
      <c r="E8" s="24" t="s">
        <v>11</v>
      </c>
      <c r="F8" s="24"/>
      <c r="G8" s="24"/>
      <c r="H8" s="25" t="s">
        <v>12</v>
      </c>
      <c r="I8" s="25"/>
      <c r="J8" s="25"/>
      <c r="K8" s="25" t="s">
        <v>13</v>
      </c>
      <c r="L8" s="25"/>
      <c r="M8" s="25"/>
      <c r="N8" s="26"/>
      <c r="O8" s="22"/>
      <c r="P8" s="22"/>
    </row>
    <row r="9" customFormat="false" ht="14.25" hidden="false" customHeight="true" outlineLevel="0" collapsed="false">
      <c r="A9" s="1"/>
      <c r="B9" s="27" t="s">
        <v>14</v>
      </c>
      <c r="C9" s="27"/>
      <c r="D9" s="27"/>
      <c r="E9" s="28" t="n">
        <v>0</v>
      </c>
      <c r="F9" s="28" t="n">
        <v>0</v>
      </c>
      <c r="G9" s="29" t="n">
        <v>0</v>
      </c>
      <c r="H9" s="30" t="n">
        <v>0</v>
      </c>
      <c r="I9" s="31" t="n">
        <v>0</v>
      </c>
      <c r="J9" s="32" t="n">
        <v>0</v>
      </c>
      <c r="K9" s="31" t="n">
        <v>0</v>
      </c>
      <c r="L9" s="31" t="n">
        <v>0</v>
      </c>
      <c r="M9" s="32" t="n">
        <v>0</v>
      </c>
      <c r="N9" s="33"/>
      <c r="O9" s="1"/>
      <c r="P9" s="1"/>
    </row>
    <row r="10" customFormat="false" ht="14.25" hidden="false" customHeight="true" outlineLevel="0" collapsed="false">
      <c r="A10" s="1"/>
      <c r="B10" s="34" t="s">
        <v>15</v>
      </c>
      <c r="C10" s="34"/>
      <c r="D10" s="34"/>
      <c r="E10" s="35" t="n">
        <v>0</v>
      </c>
      <c r="F10" s="35" t="n">
        <v>0</v>
      </c>
      <c r="G10" s="36" t="n">
        <v>0</v>
      </c>
      <c r="H10" s="37" t="n">
        <v>0</v>
      </c>
      <c r="I10" s="38" t="n">
        <v>0</v>
      </c>
      <c r="J10" s="39" t="n">
        <v>0</v>
      </c>
      <c r="K10" s="38" t="n">
        <v>0</v>
      </c>
      <c r="L10" s="38" t="n">
        <v>0</v>
      </c>
      <c r="M10" s="39" t="n">
        <v>0</v>
      </c>
      <c r="N10" s="2"/>
      <c r="O10" s="1"/>
      <c r="P10" s="1"/>
    </row>
    <row r="11" customFormat="false" ht="14.25" hidden="false" customHeight="true" outlineLevel="0" collapsed="false">
      <c r="A11" s="1"/>
      <c r="B11" s="40" t="s">
        <v>16</v>
      </c>
      <c r="C11" s="40"/>
      <c r="D11" s="40"/>
      <c r="E11" s="41" t="n">
        <v>0</v>
      </c>
      <c r="F11" s="41" t="n">
        <v>0</v>
      </c>
      <c r="G11" s="42" t="n">
        <v>0</v>
      </c>
      <c r="H11" s="43" t="n">
        <v>0</v>
      </c>
      <c r="I11" s="44" t="n">
        <v>0</v>
      </c>
      <c r="J11" s="45" t="n">
        <v>0</v>
      </c>
      <c r="K11" s="46" t="n">
        <v>0</v>
      </c>
      <c r="L11" s="46" t="n">
        <v>0</v>
      </c>
      <c r="M11" s="47" t="n">
        <v>0</v>
      </c>
      <c r="N11" s="2"/>
      <c r="O11" s="1"/>
      <c r="P11" s="1"/>
    </row>
    <row r="12" customFormat="false" ht="14.25" hidden="false" customHeight="true" outlineLevel="0" collapsed="false">
      <c r="A12" s="1"/>
      <c r="B12" s="48" t="s">
        <v>17</v>
      </c>
      <c r="C12" s="48"/>
      <c r="D12" s="48"/>
      <c r="E12" s="49" t="n">
        <f aca="false">E10-E11</f>
        <v>0</v>
      </c>
      <c r="F12" s="49" t="n">
        <f aca="false">F10-F11</f>
        <v>0</v>
      </c>
      <c r="G12" s="50" t="n">
        <f aca="false">G10-G11</f>
        <v>0</v>
      </c>
      <c r="H12" s="51" t="n">
        <f aca="false">H10-H11</f>
        <v>0</v>
      </c>
      <c r="I12" s="52" t="n">
        <f aca="false">I10-I11</f>
        <v>0</v>
      </c>
      <c r="J12" s="53" t="n">
        <f aca="false">J10-J11</f>
        <v>0</v>
      </c>
      <c r="K12" s="52" t="n">
        <f aca="false">K10-K11</f>
        <v>0</v>
      </c>
      <c r="L12" s="52" t="n">
        <f aca="false">L10-L11</f>
        <v>0</v>
      </c>
      <c r="M12" s="53" t="n">
        <f aca="false">M10-M11</f>
        <v>0</v>
      </c>
      <c r="N12" s="2"/>
      <c r="O12" s="1"/>
      <c r="P12" s="1"/>
    </row>
    <row r="13" customFormat="false" ht="14.25" hidden="false" customHeight="true" outlineLevel="0" collapsed="false">
      <c r="A13" s="1"/>
      <c r="B13" s="54" t="s">
        <v>18</v>
      </c>
      <c r="C13" s="54"/>
      <c r="D13" s="54"/>
      <c r="E13" s="55"/>
      <c r="F13" s="55"/>
      <c r="G13" s="55"/>
      <c r="H13" s="55"/>
      <c r="I13" s="55"/>
      <c r="J13" s="55"/>
      <c r="K13" s="55"/>
      <c r="L13" s="55"/>
      <c r="M13" s="55"/>
      <c r="N13" s="2"/>
      <c r="O13" s="1"/>
      <c r="P13" s="1"/>
    </row>
    <row r="14" customFormat="false" ht="14.25" hidden="false" customHeight="true" outlineLevel="0" collapsed="false">
      <c r="A14" s="1"/>
      <c r="B14" s="56" t="s">
        <v>19</v>
      </c>
      <c r="C14" s="56"/>
      <c r="D14" s="56"/>
      <c r="E14" s="35" t="n">
        <v>0</v>
      </c>
      <c r="F14" s="35" t="n">
        <v>0</v>
      </c>
      <c r="G14" s="36" t="n">
        <v>0</v>
      </c>
      <c r="H14" s="57" t="n">
        <v>0</v>
      </c>
      <c r="I14" s="58" t="n">
        <v>0</v>
      </c>
      <c r="J14" s="59" t="n">
        <v>0</v>
      </c>
      <c r="K14" s="58" t="n">
        <v>0</v>
      </c>
      <c r="L14" s="58" t="n">
        <v>0</v>
      </c>
      <c r="M14" s="59" t="n">
        <v>0</v>
      </c>
      <c r="N14" s="2"/>
      <c r="O14" s="1"/>
      <c r="P14" s="1"/>
    </row>
    <row r="15" customFormat="false" ht="14.25" hidden="false" customHeight="true" outlineLevel="0" collapsed="false">
      <c r="A15" s="1"/>
      <c r="B15" s="60" t="s">
        <v>20</v>
      </c>
      <c r="C15" s="60"/>
      <c r="D15" s="60"/>
      <c r="E15" s="35" t="n">
        <v>0</v>
      </c>
      <c r="F15" s="35" t="n">
        <v>0</v>
      </c>
      <c r="G15" s="36" t="n">
        <v>0</v>
      </c>
      <c r="H15" s="61" t="n">
        <v>0</v>
      </c>
      <c r="I15" s="62" t="n">
        <v>0</v>
      </c>
      <c r="J15" s="63" t="n">
        <v>0</v>
      </c>
      <c r="K15" s="62" t="n">
        <v>0</v>
      </c>
      <c r="L15" s="62" t="n">
        <v>0</v>
      </c>
      <c r="M15" s="63" t="n">
        <v>0</v>
      </c>
      <c r="N15" s="2"/>
      <c r="O15" s="1"/>
      <c r="P15" s="1"/>
    </row>
    <row r="16" customFormat="false" ht="14.25" hidden="false" customHeight="true" outlineLevel="0" collapsed="false">
      <c r="A16" s="1"/>
      <c r="B16" s="60" t="s">
        <v>21</v>
      </c>
      <c r="C16" s="60"/>
      <c r="D16" s="60"/>
      <c r="E16" s="49" t="n">
        <f aca="false">SUM(E17:E25)</f>
        <v>0</v>
      </c>
      <c r="F16" s="49" t="n">
        <f aca="false">SUM(F17:F25)</f>
        <v>0</v>
      </c>
      <c r="G16" s="50" t="n">
        <f aca="false">SUM(G17:G25)</f>
        <v>0</v>
      </c>
      <c r="H16" s="64" t="n">
        <f aca="false">SUM(H17:H25)</f>
        <v>0</v>
      </c>
      <c r="I16" s="65" t="n">
        <f aca="false">SUM(I17:I25)</f>
        <v>0</v>
      </c>
      <c r="J16" s="66" t="n">
        <f aca="false">SUM(J17:J25)</f>
        <v>0</v>
      </c>
      <c r="K16" s="65" t="n">
        <f aca="false">SUM(K17:K25)</f>
        <v>0</v>
      </c>
      <c r="L16" s="65" t="n">
        <f aca="false">SUM(L17:L25)</f>
        <v>0</v>
      </c>
      <c r="M16" s="66" t="n">
        <f aca="false">SUM(M17:M25)</f>
        <v>0</v>
      </c>
      <c r="N16" s="2"/>
      <c r="O16" s="1"/>
      <c r="P16" s="1"/>
    </row>
    <row r="17" customFormat="false" ht="14.25" hidden="false" customHeight="true" outlineLevel="0" collapsed="false">
      <c r="A17" s="1"/>
      <c r="B17" s="67" t="s">
        <v>22</v>
      </c>
      <c r="C17" s="67"/>
      <c r="D17" s="67"/>
      <c r="E17" s="35" t="n">
        <v>0</v>
      </c>
      <c r="F17" s="35" t="n">
        <v>0</v>
      </c>
      <c r="G17" s="36" t="n">
        <v>0</v>
      </c>
      <c r="H17" s="68" t="n">
        <v>0</v>
      </c>
      <c r="I17" s="69" t="n">
        <v>0</v>
      </c>
      <c r="J17" s="70" t="n">
        <v>0</v>
      </c>
      <c r="K17" s="69" t="n">
        <v>0</v>
      </c>
      <c r="L17" s="69" t="n">
        <v>0</v>
      </c>
      <c r="M17" s="70" t="n">
        <v>0</v>
      </c>
      <c r="N17" s="2"/>
      <c r="O17" s="1"/>
      <c r="P17" s="1"/>
    </row>
    <row r="18" customFormat="false" ht="14.25" hidden="false" customHeight="true" outlineLevel="0" collapsed="false">
      <c r="A18" s="1"/>
      <c r="B18" s="67" t="s">
        <v>23</v>
      </c>
      <c r="C18" s="67"/>
      <c r="D18" s="67"/>
      <c r="E18" s="35" t="n">
        <v>0</v>
      </c>
      <c r="F18" s="35" t="n">
        <v>0</v>
      </c>
      <c r="G18" s="36" t="n">
        <v>0</v>
      </c>
      <c r="H18" s="68" t="n">
        <v>0</v>
      </c>
      <c r="I18" s="69" t="n">
        <v>0</v>
      </c>
      <c r="J18" s="70" t="n">
        <v>0</v>
      </c>
      <c r="K18" s="69" t="n">
        <v>0</v>
      </c>
      <c r="L18" s="69" t="n">
        <v>0</v>
      </c>
      <c r="M18" s="70" t="n">
        <v>0</v>
      </c>
      <c r="N18" s="2"/>
      <c r="O18" s="1"/>
      <c r="P18" s="1"/>
    </row>
    <row r="19" customFormat="false" ht="14.25" hidden="false" customHeight="true" outlineLevel="0" collapsed="false">
      <c r="A19" s="1"/>
      <c r="B19" s="67" t="s">
        <v>24</v>
      </c>
      <c r="C19" s="67"/>
      <c r="D19" s="67"/>
      <c r="E19" s="35" t="n">
        <v>0</v>
      </c>
      <c r="F19" s="35" t="n">
        <v>0</v>
      </c>
      <c r="G19" s="36" t="n">
        <v>0</v>
      </c>
      <c r="H19" s="68" t="n">
        <v>0</v>
      </c>
      <c r="I19" s="69" t="n">
        <v>0</v>
      </c>
      <c r="J19" s="70" t="n">
        <v>0</v>
      </c>
      <c r="K19" s="69" t="n">
        <v>0</v>
      </c>
      <c r="L19" s="69" t="n">
        <v>0</v>
      </c>
      <c r="M19" s="70" t="n">
        <v>0</v>
      </c>
      <c r="N19" s="2"/>
      <c r="O19" s="1"/>
      <c r="P19" s="1"/>
    </row>
    <row r="20" customFormat="false" ht="14.25" hidden="false" customHeight="true" outlineLevel="0" collapsed="false">
      <c r="A20" s="1"/>
      <c r="B20" s="67" t="s">
        <v>25</v>
      </c>
      <c r="C20" s="67"/>
      <c r="D20" s="67"/>
      <c r="E20" s="35" t="n">
        <v>0</v>
      </c>
      <c r="F20" s="35" t="n">
        <v>0</v>
      </c>
      <c r="G20" s="36" t="n">
        <v>0</v>
      </c>
      <c r="H20" s="68" t="n">
        <v>0</v>
      </c>
      <c r="I20" s="69" t="n">
        <v>0</v>
      </c>
      <c r="J20" s="70" t="n">
        <v>0</v>
      </c>
      <c r="K20" s="69" t="n">
        <v>0</v>
      </c>
      <c r="L20" s="69" t="n">
        <v>0</v>
      </c>
      <c r="M20" s="70" t="n">
        <v>0</v>
      </c>
      <c r="N20" s="2"/>
      <c r="O20" s="1"/>
      <c r="P20" s="1"/>
    </row>
    <row r="21" customFormat="false" ht="14.25" hidden="false" customHeight="true" outlineLevel="0" collapsed="false">
      <c r="A21" s="1"/>
      <c r="B21" s="67" t="s">
        <v>26</v>
      </c>
      <c r="C21" s="67"/>
      <c r="D21" s="67"/>
      <c r="E21" s="35" t="n">
        <v>0</v>
      </c>
      <c r="F21" s="35" t="n">
        <v>0</v>
      </c>
      <c r="G21" s="36" t="n">
        <v>0</v>
      </c>
      <c r="H21" s="68" t="n">
        <v>0</v>
      </c>
      <c r="I21" s="69" t="n">
        <v>0</v>
      </c>
      <c r="J21" s="70" t="n">
        <v>0</v>
      </c>
      <c r="K21" s="69" t="n">
        <v>0</v>
      </c>
      <c r="L21" s="69" t="n">
        <v>0</v>
      </c>
      <c r="M21" s="70" t="n">
        <v>0</v>
      </c>
      <c r="N21" s="2"/>
      <c r="O21" s="1"/>
      <c r="P21" s="1"/>
    </row>
    <row r="22" customFormat="false" ht="14.25" hidden="false" customHeight="true" outlineLevel="0" collapsed="false">
      <c r="A22" s="1"/>
      <c r="B22" s="67" t="s">
        <v>27</v>
      </c>
      <c r="C22" s="67"/>
      <c r="D22" s="67"/>
      <c r="E22" s="35" t="n">
        <v>0</v>
      </c>
      <c r="F22" s="35" t="n">
        <v>0</v>
      </c>
      <c r="G22" s="36" t="n">
        <v>0</v>
      </c>
      <c r="H22" s="68" t="n">
        <v>0</v>
      </c>
      <c r="I22" s="69" t="n">
        <v>0</v>
      </c>
      <c r="J22" s="70" t="n">
        <v>0</v>
      </c>
      <c r="K22" s="69" t="n">
        <v>0</v>
      </c>
      <c r="L22" s="69" t="n">
        <v>0</v>
      </c>
      <c r="M22" s="70" t="n">
        <v>0</v>
      </c>
      <c r="N22" s="2"/>
      <c r="O22" s="1"/>
      <c r="P22" s="1"/>
    </row>
    <row r="23" customFormat="false" ht="14.25" hidden="false" customHeight="true" outlineLevel="0" collapsed="false">
      <c r="A23" s="1"/>
      <c r="B23" s="67" t="s">
        <v>28</v>
      </c>
      <c r="C23" s="67"/>
      <c r="D23" s="67"/>
      <c r="E23" s="35" t="n">
        <v>0</v>
      </c>
      <c r="F23" s="35" t="n">
        <v>0</v>
      </c>
      <c r="G23" s="36" t="n">
        <v>0</v>
      </c>
      <c r="H23" s="68" t="n">
        <v>0</v>
      </c>
      <c r="I23" s="69" t="n">
        <v>0</v>
      </c>
      <c r="J23" s="70" t="n">
        <v>0</v>
      </c>
      <c r="K23" s="69" t="n">
        <v>0</v>
      </c>
      <c r="L23" s="69" t="n">
        <v>0</v>
      </c>
      <c r="M23" s="70" t="n">
        <v>0</v>
      </c>
      <c r="N23" s="2"/>
      <c r="O23" s="1"/>
      <c r="P23" s="1"/>
    </row>
    <row r="24" customFormat="false" ht="14.25" hidden="false" customHeight="true" outlineLevel="0" collapsed="false">
      <c r="A24" s="1"/>
      <c r="B24" s="67" t="s">
        <v>29</v>
      </c>
      <c r="C24" s="67"/>
      <c r="D24" s="67"/>
      <c r="E24" s="35" t="n">
        <v>0</v>
      </c>
      <c r="F24" s="35" t="n">
        <v>0</v>
      </c>
      <c r="G24" s="36" t="n">
        <v>0</v>
      </c>
      <c r="H24" s="68" t="n">
        <v>0</v>
      </c>
      <c r="I24" s="69" t="n">
        <v>0</v>
      </c>
      <c r="J24" s="70" t="n">
        <v>0</v>
      </c>
      <c r="K24" s="69" t="n">
        <v>0</v>
      </c>
      <c r="L24" s="69" t="n">
        <v>0</v>
      </c>
      <c r="M24" s="70" t="n">
        <v>0</v>
      </c>
      <c r="N24" s="2"/>
      <c r="O24" s="1"/>
      <c r="P24" s="1"/>
    </row>
    <row r="25" customFormat="false" ht="14.25" hidden="false" customHeight="true" outlineLevel="0" collapsed="false">
      <c r="A25" s="1"/>
      <c r="B25" s="67" t="s">
        <v>30</v>
      </c>
      <c r="C25" s="67"/>
      <c r="D25" s="67"/>
      <c r="E25" s="35" t="n">
        <v>0</v>
      </c>
      <c r="F25" s="35" t="n">
        <v>0</v>
      </c>
      <c r="G25" s="36" t="n">
        <v>0</v>
      </c>
      <c r="H25" s="68" t="n">
        <v>0</v>
      </c>
      <c r="I25" s="69" t="n">
        <v>0</v>
      </c>
      <c r="J25" s="70" t="n">
        <v>0</v>
      </c>
      <c r="K25" s="69" t="n">
        <v>0</v>
      </c>
      <c r="L25" s="69" t="n">
        <v>0</v>
      </c>
      <c r="M25" s="70" t="n">
        <v>0</v>
      </c>
      <c r="N25" s="2"/>
      <c r="O25" s="1"/>
      <c r="P25" s="1"/>
    </row>
    <row r="26" customFormat="false" ht="14.25" hidden="false" customHeight="true" outlineLevel="0" collapsed="false">
      <c r="A26" s="1"/>
      <c r="B26" s="60" t="s">
        <v>31</v>
      </c>
      <c r="C26" s="60"/>
      <c r="D26" s="60"/>
      <c r="E26" s="35" t="n">
        <v>0</v>
      </c>
      <c r="F26" s="35" t="n">
        <v>0</v>
      </c>
      <c r="G26" s="36" t="n">
        <v>0</v>
      </c>
      <c r="H26" s="57" t="n">
        <v>0</v>
      </c>
      <c r="I26" s="58" t="n">
        <v>0</v>
      </c>
      <c r="J26" s="59" t="n">
        <v>0</v>
      </c>
      <c r="K26" s="58" t="n">
        <v>0</v>
      </c>
      <c r="L26" s="58" t="n">
        <v>0</v>
      </c>
      <c r="M26" s="59" t="n">
        <v>0</v>
      </c>
      <c r="N26" s="2"/>
      <c r="O26" s="1"/>
      <c r="P26" s="1"/>
    </row>
    <row r="27" customFormat="false" ht="36" hidden="false" customHeight="true" outlineLevel="0" collapsed="false">
      <c r="A27" s="1"/>
      <c r="B27" s="71" t="s">
        <v>32</v>
      </c>
      <c r="C27" s="71"/>
      <c r="D27" s="72" t="s">
        <v>33</v>
      </c>
      <c r="E27" s="73"/>
      <c r="F27" s="73"/>
      <c r="G27" s="74"/>
      <c r="H27" s="75"/>
      <c r="I27" s="73"/>
      <c r="J27" s="74"/>
      <c r="K27" s="74"/>
      <c r="L27" s="74"/>
      <c r="M27" s="74"/>
      <c r="N27" s="2"/>
      <c r="O27" s="1"/>
      <c r="P27" s="1"/>
    </row>
    <row r="28" customFormat="false" ht="14.25" hidden="false" customHeight="true" outlineLevel="0" collapsed="false">
      <c r="A28" s="1"/>
      <c r="B28" s="76" t="s">
        <v>34</v>
      </c>
      <c r="C28" s="76"/>
      <c r="D28" s="77" t="n">
        <v>0</v>
      </c>
      <c r="E28" s="35" t="n">
        <v>0</v>
      </c>
      <c r="F28" s="35" t="n">
        <v>0</v>
      </c>
      <c r="G28" s="35" t="n">
        <v>0</v>
      </c>
      <c r="H28" s="68" t="n">
        <v>0</v>
      </c>
      <c r="I28" s="69" t="n">
        <v>0</v>
      </c>
      <c r="J28" s="70" t="n">
        <v>0</v>
      </c>
      <c r="K28" s="69" t="n">
        <v>0</v>
      </c>
      <c r="L28" s="69" t="n">
        <v>0</v>
      </c>
      <c r="M28" s="70" t="n">
        <v>0</v>
      </c>
      <c r="N28" s="2"/>
      <c r="O28" s="1"/>
      <c r="P28" s="1"/>
    </row>
    <row r="29" customFormat="false" ht="14.25" hidden="false" customHeight="true" outlineLevel="0" collapsed="false">
      <c r="A29" s="1"/>
      <c r="B29" s="76" t="s">
        <v>35</v>
      </c>
      <c r="C29" s="76"/>
      <c r="D29" s="77" t="n">
        <v>0</v>
      </c>
      <c r="E29" s="35" t="n">
        <v>0</v>
      </c>
      <c r="F29" s="35" t="n">
        <v>0</v>
      </c>
      <c r="G29" s="36" t="n">
        <v>0</v>
      </c>
      <c r="H29" s="68" t="n">
        <v>0</v>
      </c>
      <c r="I29" s="69" t="n">
        <v>0</v>
      </c>
      <c r="J29" s="70" t="n">
        <v>0</v>
      </c>
      <c r="K29" s="69" t="n">
        <v>0</v>
      </c>
      <c r="L29" s="69" t="n">
        <v>0</v>
      </c>
      <c r="M29" s="70" t="n">
        <v>0</v>
      </c>
      <c r="N29" s="2"/>
      <c r="O29" s="1"/>
      <c r="P29" s="1"/>
    </row>
    <row r="30" customFormat="false" ht="14.25" hidden="false" customHeight="true" outlineLevel="0" collapsed="false">
      <c r="A30" s="1"/>
      <c r="B30" s="76" t="s">
        <v>36</v>
      </c>
      <c r="C30" s="76"/>
      <c r="D30" s="77" t="n">
        <v>0</v>
      </c>
      <c r="E30" s="35" t="n">
        <v>0</v>
      </c>
      <c r="F30" s="35" t="n">
        <v>0</v>
      </c>
      <c r="G30" s="36" t="n">
        <v>0</v>
      </c>
      <c r="H30" s="68" t="n">
        <v>0</v>
      </c>
      <c r="I30" s="69" t="n">
        <v>0</v>
      </c>
      <c r="J30" s="70" t="n">
        <v>0</v>
      </c>
      <c r="K30" s="69" t="n">
        <v>0</v>
      </c>
      <c r="L30" s="69" t="n">
        <v>0</v>
      </c>
      <c r="M30" s="70" t="n">
        <v>0</v>
      </c>
      <c r="N30" s="2"/>
      <c r="O30" s="1"/>
      <c r="P30" s="1"/>
    </row>
    <row r="31" customFormat="false" ht="14.25" hidden="false" customHeight="true" outlineLevel="0" collapsed="false">
      <c r="A31" s="1"/>
      <c r="B31" s="76" t="s">
        <v>37</v>
      </c>
      <c r="C31" s="76"/>
      <c r="D31" s="77" t="n">
        <v>0</v>
      </c>
      <c r="E31" s="35" t="n">
        <v>0</v>
      </c>
      <c r="F31" s="35" t="n">
        <v>0</v>
      </c>
      <c r="G31" s="36" t="n">
        <v>0</v>
      </c>
      <c r="H31" s="68" t="n">
        <v>0</v>
      </c>
      <c r="I31" s="69" t="n">
        <v>0</v>
      </c>
      <c r="J31" s="70" t="n">
        <v>0</v>
      </c>
      <c r="K31" s="69" t="n">
        <v>0</v>
      </c>
      <c r="L31" s="69" t="n">
        <v>0</v>
      </c>
      <c r="M31" s="70" t="n">
        <v>0</v>
      </c>
      <c r="N31" s="78"/>
      <c r="O31" s="1"/>
      <c r="P31" s="1"/>
    </row>
    <row r="32" customFormat="false" ht="14.25" hidden="false" customHeight="true" outlineLevel="0" collapsed="false">
      <c r="A32" s="1"/>
      <c r="B32" s="76" t="s">
        <v>38</v>
      </c>
      <c r="C32" s="76"/>
      <c r="D32" s="77" t="n">
        <v>0</v>
      </c>
      <c r="E32" s="35" t="n">
        <v>0</v>
      </c>
      <c r="F32" s="35" t="n">
        <v>0</v>
      </c>
      <c r="G32" s="36" t="n">
        <v>0</v>
      </c>
      <c r="H32" s="68" t="n">
        <v>0</v>
      </c>
      <c r="I32" s="69" t="n">
        <v>0</v>
      </c>
      <c r="J32" s="70" t="n">
        <v>0</v>
      </c>
      <c r="K32" s="69" t="n">
        <v>0</v>
      </c>
      <c r="L32" s="69" t="n">
        <v>0</v>
      </c>
      <c r="M32" s="70" t="n">
        <v>0</v>
      </c>
      <c r="N32" s="2"/>
      <c r="O32" s="1"/>
      <c r="P32" s="1"/>
    </row>
    <row r="33" customFormat="false" ht="14.25" hidden="false" customHeight="true" outlineLevel="0" collapsed="false">
      <c r="A33" s="1"/>
      <c r="B33" s="76" t="s">
        <v>39</v>
      </c>
      <c r="C33" s="76"/>
      <c r="D33" s="77" t="n">
        <v>0</v>
      </c>
      <c r="E33" s="35" t="n">
        <v>0</v>
      </c>
      <c r="F33" s="35" t="n">
        <v>0</v>
      </c>
      <c r="G33" s="36" t="n">
        <v>0</v>
      </c>
      <c r="H33" s="68" t="n">
        <v>0</v>
      </c>
      <c r="I33" s="69" t="n">
        <v>0</v>
      </c>
      <c r="J33" s="70" t="n">
        <v>0</v>
      </c>
      <c r="K33" s="69" t="n">
        <v>0</v>
      </c>
      <c r="L33" s="69" t="n">
        <v>0</v>
      </c>
      <c r="M33" s="70" t="n">
        <v>0</v>
      </c>
      <c r="N33" s="2"/>
      <c r="O33" s="1"/>
      <c r="P33" s="1"/>
    </row>
    <row r="34" customFormat="false" ht="14.25" hidden="false" customHeight="true" outlineLevel="0" collapsed="false">
      <c r="A34" s="1"/>
      <c r="B34" s="76" t="s">
        <v>40</v>
      </c>
      <c r="C34" s="76"/>
      <c r="D34" s="77" t="n">
        <v>0</v>
      </c>
      <c r="E34" s="35" t="n">
        <v>0</v>
      </c>
      <c r="F34" s="35" t="n">
        <v>0</v>
      </c>
      <c r="G34" s="36" t="n">
        <v>0</v>
      </c>
      <c r="H34" s="68" t="n">
        <v>0</v>
      </c>
      <c r="I34" s="69" t="n">
        <v>0</v>
      </c>
      <c r="J34" s="70" t="n">
        <v>0</v>
      </c>
      <c r="K34" s="69" t="n">
        <v>0</v>
      </c>
      <c r="L34" s="69" t="n">
        <v>0</v>
      </c>
      <c r="M34" s="70" t="n">
        <v>0</v>
      </c>
      <c r="N34" s="2"/>
      <c r="O34" s="1"/>
      <c r="P34" s="1"/>
    </row>
    <row r="35" customFormat="false" ht="14.25" hidden="false" customHeight="true" outlineLevel="0" collapsed="false">
      <c r="A35" s="1"/>
      <c r="B35" s="76" t="s">
        <v>41</v>
      </c>
      <c r="C35" s="76"/>
      <c r="D35" s="77" t="n">
        <v>0</v>
      </c>
      <c r="E35" s="35" t="n">
        <v>0</v>
      </c>
      <c r="F35" s="35" t="n">
        <v>0</v>
      </c>
      <c r="G35" s="36" t="n">
        <v>0</v>
      </c>
      <c r="H35" s="68" t="n">
        <v>0</v>
      </c>
      <c r="I35" s="69" t="n">
        <v>0</v>
      </c>
      <c r="J35" s="70" t="n">
        <v>0</v>
      </c>
      <c r="K35" s="69" t="n">
        <v>0</v>
      </c>
      <c r="L35" s="69" t="n">
        <v>0</v>
      </c>
      <c r="M35" s="70" t="n">
        <v>0</v>
      </c>
      <c r="N35" s="2"/>
      <c r="O35" s="1"/>
      <c r="P35" s="1"/>
    </row>
    <row r="36" customFormat="false" ht="14.25" hidden="false" customHeight="true" outlineLevel="0" collapsed="false">
      <c r="A36" s="1"/>
      <c r="B36" s="76" t="s">
        <v>42</v>
      </c>
      <c r="C36" s="76"/>
      <c r="D36" s="77" t="n">
        <v>0</v>
      </c>
      <c r="E36" s="35" t="n">
        <v>0</v>
      </c>
      <c r="F36" s="35" t="n">
        <v>0</v>
      </c>
      <c r="G36" s="36" t="n">
        <v>0</v>
      </c>
      <c r="H36" s="68" t="n">
        <v>0</v>
      </c>
      <c r="I36" s="69" t="n">
        <v>0</v>
      </c>
      <c r="J36" s="70" t="n">
        <v>0</v>
      </c>
      <c r="K36" s="69" t="n">
        <v>0</v>
      </c>
      <c r="L36" s="69" t="n">
        <v>0</v>
      </c>
      <c r="M36" s="70" t="n">
        <v>0</v>
      </c>
      <c r="N36" s="2"/>
      <c r="O36" s="1"/>
      <c r="P36" s="1"/>
    </row>
    <row r="37" customFormat="false" ht="14.25" hidden="false" customHeight="true" outlineLevel="0" collapsed="false">
      <c r="A37" s="1"/>
      <c r="B37" s="79" t="s">
        <v>43</v>
      </c>
      <c r="C37" s="80" t="s">
        <v>44</v>
      </c>
      <c r="D37" s="80"/>
      <c r="E37" s="81" t="n">
        <v>0</v>
      </c>
      <c r="F37" s="81" t="n">
        <v>0</v>
      </c>
      <c r="G37" s="82" t="n">
        <v>0</v>
      </c>
      <c r="H37" s="83" t="n">
        <v>0</v>
      </c>
      <c r="I37" s="84" t="n">
        <v>0</v>
      </c>
      <c r="J37" s="85" t="n">
        <v>0</v>
      </c>
      <c r="K37" s="84" t="n">
        <v>0</v>
      </c>
      <c r="L37" s="84" t="n">
        <v>0</v>
      </c>
      <c r="M37" s="85" t="n">
        <v>0</v>
      </c>
      <c r="N37" s="2"/>
      <c r="O37" s="1"/>
      <c r="P37" s="1"/>
    </row>
    <row r="38" customFormat="false" ht="14.25" hidden="false" customHeight="true" outlineLevel="0" collapsed="false">
      <c r="A38" s="1"/>
      <c r="B38" s="79"/>
      <c r="C38" s="86" t="s">
        <v>45</v>
      </c>
      <c r="D38" s="86"/>
      <c r="E38" s="49" t="n">
        <f aca="false">SUM(E28:E36)</f>
        <v>0</v>
      </c>
      <c r="F38" s="49" t="n">
        <f aca="false">SUM(F28:F36)</f>
        <v>0</v>
      </c>
      <c r="G38" s="50" t="n">
        <f aca="false">SUM(G28:G36)</f>
        <v>0</v>
      </c>
      <c r="H38" s="87" t="n">
        <f aca="false">SUM(H28:H36)</f>
        <v>0</v>
      </c>
      <c r="I38" s="88" t="n">
        <f aca="false">SUM(I28:I36)</f>
        <v>0</v>
      </c>
      <c r="J38" s="89" t="n">
        <f aca="false">SUM(J28:J36)</f>
        <v>0</v>
      </c>
      <c r="K38" s="88" t="n">
        <f aca="false">SUM(K28:K36)</f>
        <v>0</v>
      </c>
      <c r="L38" s="88" t="n">
        <f aca="false">SUM(L28:L36)</f>
        <v>0</v>
      </c>
      <c r="M38" s="89" t="n">
        <f aca="false">SUM(M28:M36)</f>
        <v>0</v>
      </c>
      <c r="N38" s="2"/>
      <c r="O38" s="1"/>
      <c r="P38" s="1"/>
    </row>
    <row r="39" customFormat="false" ht="14.25" hidden="false" customHeight="true" outlineLevel="0" collapsed="false">
      <c r="A39" s="1"/>
      <c r="B39" s="79"/>
      <c r="C39" s="86" t="s">
        <v>46</v>
      </c>
      <c r="D39" s="86"/>
      <c r="E39" s="49" t="n">
        <f aca="false">E26</f>
        <v>0</v>
      </c>
      <c r="F39" s="49" t="n">
        <f aca="false">F26</f>
        <v>0</v>
      </c>
      <c r="G39" s="50" t="n">
        <f aca="false">G26</f>
        <v>0</v>
      </c>
      <c r="H39" s="87" t="n">
        <f aca="false">H26</f>
        <v>0</v>
      </c>
      <c r="I39" s="88" t="n">
        <f aca="false">I26</f>
        <v>0</v>
      </c>
      <c r="J39" s="89" t="n">
        <f aca="false">J26</f>
        <v>0</v>
      </c>
      <c r="K39" s="88" t="n">
        <f aca="false">K26</f>
        <v>0</v>
      </c>
      <c r="L39" s="88" t="n">
        <f aca="false">L26</f>
        <v>0</v>
      </c>
      <c r="M39" s="89" t="n">
        <f aca="false">M26</f>
        <v>0</v>
      </c>
      <c r="N39" s="2"/>
      <c r="O39" s="1"/>
      <c r="P39" s="1"/>
    </row>
    <row r="40" customFormat="false" ht="14.25" hidden="false" customHeight="true" outlineLevel="0" collapsed="false">
      <c r="A40" s="1"/>
      <c r="B40" s="79"/>
      <c r="C40" s="90" t="s">
        <v>47</v>
      </c>
      <c r="D40" s="90"/>
      <c r="E40" s="91" t="n">
        <f aca="false">E37+E38-E39</f>
        <v>0</v>
      </c>
      <c r="F40" s="91" t="n">
        <f aca="false">F37+F38-F39</f>
        <v>0</v>
      </c>
      <c r="G40" s="92" t="n">
        <f aca="false">G37+G38-G39</f>
        <v>0</v>
      </c>
      <c r="H40" s="93" t="n">
        <f aca="false">H37+H38-H39</f>
        <v>0</v>
      </c>
      <c r="I40" s="94" t="n">
        <f aca="false">I37+I38-I39</f>
        <v>0</v>
      </c>
      <c r="J40" s="95" t="n">
        <f aca="false">J37+J38-J39</f>
        <v>0</v>
      </c>
      <c r="K40" s="94" t="n">
        <f aca="false">K37+K38-K39</f>
        <v>0</v>
      </c>
      <c r="L40" s="94" t="n">
        <f aca="false">L37+L38-L39</f>
        <v>0</v>
      </c>
      <c r="M40" s="95" t="n">
        <f aca="false">M37+M38-M39</f>
        <v>0</v>
      </c>
      <c r="N40" s="2"/>
      <c r="O40" s="1"/>
      <c r="P40" s="1"/>
    </row>
    <row r="41" customFormat="false" ht="14.25" hidden="false" customHeight="true" outlineLevel="0" collapsed="false">
      <c r="A41" s="1"/>
      <c r="B41" s="60" t="s">
        <v>48</v>
      </c>
      <c r="C41" s="60"/>
      <c r="D41" s="60"/>
      <c r="E41" s="49" t="n">
        <f aca="false">E14+E15+E16+E26</f>
        <v>0</v>
      </c>
      <c r="F41" s="49" t="n">
        <f aca="false">F14+F15+F16+F26</f>
        <v>0</v>
      </c>
      <c r="G41" s="50" t="n">
        <f aca="false">G14+G15+G16+G26</f>
        <v>0</v>
      </c>
      <c r="H41" s="96" t="n">
        <f aca="false">H14+H15+H16+H26</f>
        <v>0</v>
      </c>
      <c r="I41" s="97" t="n">
        <f aca="false">I14+I15+I16+I26</f>
        <v>0</v>
      </c>
      <c r="J41" s="98" t="n">
        <f aca="false">J14+J15+J16+J26</f>
        <v>0</v>
      </c>
      <c r="K41" s="97" t="n">
        <f aca="false">K14+K15+K16+K26</f>
        <v>0</v>
      </c>
      <c r="L41" s="97" t="n">
        <f aca="false">L14+L15+L16+L26</f>
        <v>0</v>
      </c>
      <c r="M41" s="98" t="n">
        <f aca="false">M14+M15+M16+M26</f>
        <v>0</v>
      </c>
      <c r="N41" s="2"/>
      <c r="O41" s="1"/>
      <c r="P41" s="1"/>
    </row>
    <row r="42" customFormat="false" ht="14.25" hidden="false" customHeight="true" outlineLevel="0" collapsed="false">
      <c r="A42" s="1"/>
      <c r="B42" s="60" t="s">
        <v>49</v>
      </c>
      <c r="C42" s="60"/>
      <c r="D42" s="60"/>
      <c r="E42" s="35" t="n">
        <v>0</v>
      </c>
      <c r="F42" s="35" t="n">
        <v>0</v>
      </c>
      <c r="G42" s="36" t="n">
        <v>0</v>
      </c>
      <c r="H42" s="37" t="n">
        <v>0</v>
      </c>
      <c r="I42" s="38" t="n">
        <v>0</v>
      </c>
      <c r="J42" s="39" t="n">
        <v>0</v>
      </c>
      <c r="K42" s="38" t="n">
        <v>0</v>
      </c>
      <c r="L42" s="38" t="n">
        <v>0</v>
      </c>
      <c r="M42" s="39" t="n">
        <v>0</v>
      </c>
      <c r="N42" s="2"/>
      <c r="O42" s="1"/>
      <c r="P42" s="1"/>
    </row>
    <row r="43" customFormat="false" ht="14.25" hidden="false" customHeight="true" outlineLevel="0" collapsed="false">
      <c r="A43" s="1"/>
      <c r="B43" s="60" t="s">
        <v>50</v>
      </c>
      <c r="C43" s="60"/>
      <c r="D43" s="60"/>
      <c r="E43" s="35" t="n">
        <v>0</v>
      </c>
      <c r="F43" s="35" t="n">
        <v>0</v>
      </c>
      <c r="G43" s="36" t="n">
        <v>0</v>
      </c>
      <c r="H43" s="37" t="n">
        <v>0</v>
      </c>
      <c r="I43" s="38" t="n">
        <v>0</v>
      </c>
      <c r="J43" s="39" t="n">
        <v>0</v>
      </c>
      <c r="K43" s="38" t="n">
        <v>0</v>
      </c>
      <c r="L43" s="38" t="n">
        <v>0</v>
      </c>
      <c r="M43" s="39" t="n">
        <v>0</v>
      </c>
      <c r="N43" s="2"/>
      <c r="O43" s="1"/>
      <c r="P43" s="1"/>
    </row>
    <row r="44" customFormat="false" ht="14.25" hidden="false" customHeight="true" outlineLevel="0" collapsed="false">
      <c r="A44" s="1"/>
      <c r="B44" s="60" t="s">
        <v>51</v>
      </c>
      <c r="C44" s="60"/>
      <c r="D44" s="60"/>
      <c r="E44" s="35" t="n">
        <v>0</v>
      </c>
      <c r="F44" s="35" t="n">
        <v>0</v>
      </c>
      <c r="G44" s="36" t="n">
        <v>0</v>
      </c>
      <c r="H44" s="37" t="n">
        <v>0</v>
      </c>
      <c r="I44" s="38" t="n">
        <v>0</v>
      </c>
      <c r="J44" s="39" t="n">
        <v>0</v>
      </c>
      <c r="K44" s="38" t="n">
        <v>0</v>
      </c>
      <c r="L44" s="38" t="n">
        <v>0</v>
      </c>
      <c r="M44" s="39" t="n">
        <v>0</v>
      </c>
      <c r="N44" s="2"/>
      <c r="O44" s="1"/>
      <c r="P44" s="1"/>
    </row>
    <row r="45" customFormat="false" ht="14.25" hidden="false" customHeight="true" outlineLevel="0" collapsed="false">
      <c r="A45" s="1"/>
      <c r="B45" s="60" t="s">
        <v>52</v>
      </c>
      <c r="C45" s="60"/>
      <c r="D45" s="60"/>
      <c r="E45" s="35" t="n">
        <v>0</v>
      </c>
      <c r="F45" s="35" t="n">
        <v>0</v>
      </c>
      <c r="G45" s="36" t="n">
        <v>0</v>
      </c>
      <c r="H45" s="37" t="n">
        <v>0</v>
      </c>
      <c r="I45" s="38" t="n">
        <v>0</v>
      </c>
      <c r="J45" s="39" t="n">
        <v>0</v>
      </c>
      <c r="K45" s="38" t="n">
        <v>0</v>
      </c>
      <c r="L45" s="38" t="n">
        <v>0</v>
      </c>
      <c r="M45" s="39" t="n">
        <v>0</v>
      </c>
      <c r="N45" s="2"/>
      <c r="O45" s="1"/>
      <c r="P45" s="1"/>
    </row>
    <row r="46" customFormat="false" ht="14.25" hidden="false" customHeight="true" outlineLevel="0" collapsed="false">
      <c r="A46" s="1"/>
      <c r="B46" s="56" t="s">
        <v>53</v>
      </c>
      <c r="C46" s="56"/>
      <c r="D46" s="56"/>
      <c r="E46" s="35" t="n">
        <v>0</v>
      </c>
      <c r="F46" s="35" t="n">
        <v>0</v>
      </c>
      <c r="G46" s="36" t="n">
        <v>0</v>
      </c>
      <c r="H46" s="37" t="n">
        <v>0</v>
      </c>
      <c r="I46" s="38" t="n">
        <v>0</v>
      </c>
      <c r="J46" s="39" t="n">
        <v>0</v>
      </c>
      <c r="K46" s="38" t="n">
        <v>0</v>
      </c>
      <c r="L46" s="38" t="n">
        <v>0</v>
      </c>
      <c r="M46" s="39" t="n">
        <v>0</v>
      </c>
      <c r="N46" s="2"/>
      <c r="O46" s="1"/>
      <c r="P46" s="1"/>
    </row>
    <row r="47" customFormat="false" ht="14.25" hidden="false" customHeight="true" outlineLevel="0" collapsed="false">
      <c r="A47" s="1"/>
      <c r="B47" s="48" t="s">
        <v>54</v>
      </c>
      <c r="C47" s="48"/>
      <c r="D47" s="48"/>
      <c r="E47" s="49" t="n">
        <f aca="false">SUM(E41:E46)</f>
        <v>0</v>
      </c>
      <c r="F47" s="49" t="n">
        <f aca="false">SUM(F41:F46)</f>
        <v>0</v>
      </c>
      <c r="G47" s="50" t="n">
        <f aca="false">SUM(G41:G46)</f>
        <v>0</v>
      </c>
      <c r="H47" s="99" t="n">
        <f aca="false">SUM(H41:H46)</f>
        <v>0</v>
      </c>
      <c r="I47" s="100" t="n">
        <f aca="false">SUM(I41:I46)</f>
        <v>0</v>
      </c>
      <c r="J47" s="101" t="n">
        <f aca="false">SUM(J41:J46)</f>
        <v>0</v>
      </c>
      <c r="K47" s="100" t="n">
        <f aca="false">SUM(K41:K46)</f>
        <v>0</v>
      </c>
      <c r="L47" s="100" t="n">
        <f aca="false">SUM(L41:L46)</f>
        <v>0</v>
      </c>
      <c r="M47" s="101" t="n">
        <f aca="false">SUM(M41:M46)</f>
        <v>0</v>
      </c>
      <c r="N47" s="2"/>
      <c r="O47" s="1"/>
      <c r="P47" s="1"/>
    </row>
    <row r="48" customFormat="false" ht="14.25" hidden="false" customHeight="true" outlineLevel="0" collapsed="false">
      <c r="A48" s="1"/>
      <c r="B48" s="48" t="s">
        <v>55</v>
      </c>
      <c r="C48" s="48"/>
      <c r="D48" s="48"/>
      <c r="E48" s="35" t="n">
        <v>0</v>
      </c>
      <c r="F48" s="35" t="n">
        <v>0</v>
      </c>
      <c r="G48" s="36" t="n">
        <v>0</v>
      </c>
      <c r="H48" s="102" t="n">
        <v>0</v>
      </c>
      <c r="I48" s="103" t="n">
        <v>0</v>
      </c>
      <c r="J48" s="104" t="n">
        <v>0</v>
      </c>
      <c r="K48" s="103" t="n">
        <v>0</v>
      </c>
      <c r="L48" s="103" t="n">
        <v>0</v>
      </c>
      <c r="M48" s="104" t="n">
        <v>0</v>
      </c>
      <c r="N48" s="2"/>
      <c r="O48" s="1"/>
      <c r="P48" s="1"/>
    </row>
    <row r="49" customFormat="false" ht="14.25" hidden="false" customHeight="true" outlineLevel="0" collapsed="false">
      <c r="A49" s="1"/>
      <c r="B49" s="48" t="s">
        <v>56</v>
      </c>
      <c r="C49" s="48"/>
      <c r="D49" s="48"/>
      <c r="E49" s="35" t="n">
        <v>0</v>
      </c>
      <c r="F49" s="35" t="n">
        <v>0</v>
      </c>
      <c r="G49" s="36" t="n">
        <v>0</v>
      </c>
      <c r="H49" s="102" t="n">
        <v>0</v>
      </c>
      <c r="I49" s="103" t="n">
        <v>0</v>
      </c>
      <c r="J49" s="104" t="n">
        <v>0</v>
      </c>
      <c r="K49" s="103" t="n">
        <v>0</v>
      </c>
      <c r="L49" s="103" t="n">
        <v>0</v>
      </c>
      <c r="M49" s="104" t="n">
        <v>0</v>
      </c>
      <c r="N49" s="2"/>
      <c r="O49" s="1"/>
      <c r="P49" s="1"/>
    </row>
    <row r="50" customFormat="false" ht="14.25" hidden="false" customHeight="true" outlineLevel="0" collapsed="false">
      <c r="A50" s="1"/>
      <c r="B50" s="48" t="s">
        <v>57</v>
      </c>
      <c r="C50" s="48"/>
      <c r="D50" s="48"/>
      <c r="E50" s="35" t="n">
        <v>0</v>
      </c>
      <c r="F50" s="35" t="n">
        <v>0</v>
      </c>
      <c r="G50" s="36" t="n">
        <v>0</v>
      </c>
      <c r="H50" s="102" t="n">
        <v>0</v>
      </c>
      <c r="I50" s="103" t="n">
        <v>0</v>
      </c>
      <c r="J50" s="104" t="n">
        <v>0</v>
      </c>
      <c r="K50" s="103" t="n">
        <v>0</v>
      </c>
      <c r="L50" s="103" t="n">
        <v>0</v>
      </c>
      <c r="M50" s="104" t="n">
        <v>0</v>
      </c>
      <c r="N50" s="2"/>
      <c r="O50" s="1"/>
      <c r="P50" s="1"/>
    </row>
    <row r="51" customFormat="false" ht="14.25" hidden="false" customHeight="true" outlineLevel="0" collapsed="false">
      <c r="A51" s="1"/>
      <c r="B51" s="48" t="s">
        <v>58</v>
      </c>
      <c r="C51" s="48"/>
      <c r="D51" s="48"/>
      <c r="E51" s="105" t="n">
        <f aca="false">E9+E12+E47+E48+E49+E50</f>
        <v>0</v>
      </c>
      <c r="F51" s="105" t="n">
        <f aca="false">F9+F12+F47+F48+F49+F50</f>
        <v>0</v>
      </c>
      <c r="G51" s="106" t="n">
        <f aca="false">G9+G12+G47+G48+G49+G50</f>
        <v>0</v>
      </c>
      <c r="H51" s="107" t="n">
        <f aca="false">H9+H12+H47+H48+H49+H50</f>
        <v>0</v>
      </c>
      <c r="I51" s="108" t="n">
        <f aca="false">I9+I12+I47+I48+I49+I50</f>
        <v>0</v>
      </c>
      <c r="J51" s="109" t="n">
        <f aca="false">J9+J12+J47+J48+J49+J50</f>
        <v>0</v>
      </c>
      <c r="K51" s="108" t="n">
        <f aca="false">K9+K12+K47+K48+K49+K50</f>
        <v>0</v>
      </c>
      <c r="L51" s="108" t="n">
        <f aca="false">L9+L12+L47+L48+L49+L50</f>
        <v>0</v>
      </c>
      <c r="M51" s="109" t="n">
        <f aca="false">M9+M12+M47+M48+M49+M50</f>
        <v>0</v>
      </c>
      <c r="N51" s="2"/>
      <c r="O51" s="1"/>
      <c r="P51" s="1"/>
    </row>
    <row r="52" customFormat="false" ht="14.25" hidden="false" customHeight="true" outlineLevel="0" collapsed="false">
      <c r="A52" s="1"/>
      <c r="B52" s="110" t="s">
        <v>59</v>
      </c>
      <c r="C52" s="111" t="s">
        <v>60</v>
      </c>
      <c r="D52" s="111"/>
      <c r="E52" s="81" t="n">
        <v>0</v>
      </c>
      <c r="F52" s="81" t="n">
        <v>0</v>
      </c>
      <c r="G52" s="82" t="n">
        <v>0</v>
      </c>
      <c r="H52" s="112" t="n">
        <v>0</v>
      </c>
      <c r="I52" s="113" t="n">
        <v>0</v>
      </c>
      <c r="J52" s="114" t="n">
        <v>0</v>
      </c>
      <c r="K52" s="113" t="n">
        <v>0</v>
      </c>
      <c r="L52" s="113" t="n">
        <v>0</v>
      </c>
      <c r="M52" s="114" t="n">
        <v>0</v>
      </c>
      <c r="N52" s="2"/>
      <c r="O52" s="1"/>
      <c r="P52" s="1"/>
    </row>
    <row r="53" customFormat="false" ht="15" hidden="false" customHeight="true" outlineLevel="0" collapsed="false">
      <c r="A53" s="1"/>
      <c r="B53" s="110"/>
      <c r="C53" s="115" t="s">
        <v>61</v>
      </c>
      <c r="D53" s="115"/>
      <c r="E53" s="35" t="n">
        <v>0</v>
      </c>
      <c r="F53" s="35" t="n">
        <v>0</v>
      </c>
      <c r="G53" s="36" t="n">
        <v>0</v>
      </c>
      <c r="H53" s="43" t="n">
        <v>0</v>
      </c>
      <c r="I53" s="44" t="n">
        <v>0</v>
      </c>
      <c r="J53" s="45" t="n">
        <v>0</v>
      </c>
      <c r="K53" s="44" t="n">
        <v>0</v>
      </c>
      <c r="L53" s="44" t="n">
        <v>0</v>
      </c>
      <c r="M53" s="45" t="n">
        <v>0</v>
      </c>
      <c r="N53" s="2"/>
      <c r="O53" s="1"/>
      <c r="P53" s="1"/>
    </row>
    <row r="54" customFormat="false" ht="15" hidden="false" customHeight="true" outlineLevel="0" collapsed="false">
      <c r="A54" s="1"/>
      <c r="B54" s="110"/>
      <c r="C54" s="115" t="s">
        <v>62</v>
      </c>
      <c r="D54" s="115"/>
      <c r="E54" s="35" t="n">
        <v>0</v>
      </c>
      <c r="F54" s="35" t="n">
        <v>0</v>
      </c>
      <c r="G54" s="36" t="n">
        <v>0</v>
      </c>
      <c r="H54" s="43" t="n">
        <v>0</v>
      </c>
      <c r="I54" s="44" t="n">
        <v>0</v>
      </c>
      <c r="J54" s="45" t="n">
        <v>0</v>
      </c>
      <c r="K54" s="44" t="n">
        <v>0</v>
      </c>
      <c r="L54" s="44" t="n">
        <v>0</v>
      </c>
      <c r="M54" s="45" t="n">
        <v>0</v>
      </c>
      <c r="N54" s="2"/>
      <c r="O54" s="1"/>
      <c r="P54" s="1"/>
    </row>
    <row r="55" customFormat="false" ht="15" hidden="false" customHeight="true" outlineLevel="0" collapsed="false">
      <c r="A55" s="1"/>
      <c r="B55" s="110"/>
      <c r="C55" s="116" t="s">
        <v>63</v>
      </c>
      <c r="D55" s="116"/>
      <c r="E55" s="49" t="n">
        <f aca="false">SUM(E52:E54)</f>
        <v>0</v>
      </c>
      <c r="F55" s="49" t="n">
        <f aca="false">SUM(F52:F54)</f>
        <v>0</v>
      </c>
      <c r="G55" s="50" t="n">
        <f aca="false">SUM(G52:G54)</f>
        <v>0</v>
      </c>
      <c r="H55" s="117" t="n">
        <f aca="false">SUM(H52:H54)</f>
        <v>0</v>
      </c>
      <c r="I55" s="118" t="n">
        <f aca="false">SUM(I52:I54)</f>
        <v>0</v>
      </c>
      <c r="J55" s="119" t="n">
        <f aca="false">SUM(J52:J54)</f>
        <v>0</v>
      </c>
      <c r="K55" s="118" t="n">
        <f aca="false">SUM(K52:K54)</f>
        <v>0</v>
      </c>
      <c r="L55" s="118" t="n">
        <f aca="false">SUM(L52:L54)</f>
        <v>0</v>
      </c>
      <c r="M55" s="119" t="n">
        <f aca="false">SUM(M52:M54)</f>
        <v>0</v>
      </c>
      <c r="N55" s="2"/>
      <c r="O55" s="1"/>
      <c r="P55" s="1"/>
    </row>
    <row r="56" customFormat="false" ht="15" hidden="false" customHeight="true" outlineLevel="0" collapsed="false">
      <c r="A56" s="1"/>
      <c r="B56" s="110"/>
      <c r="C56" s="120" t="s">
        <v>64</v>
      </c>
      <c r="D56" s="120"/>
      <c r="E56" s="121" t="n">
        <f aca="false">E51-E55</f>
        <v>0</v>
      </c>
      <c r="F56" s="121" t="n">
        <f aca="false">F51-F55</f>
        <v>0</v>
      </c>
      <c r="G56" s="122" t="n">
        <f aca="false">G51-G55</f>
        <v>0</v>
      </c>
      <c r="H56" s="123" t="n">
        <f aca="false">H51-H55</f>
        <v>0</v>
      </c>
      <c r="I56" s="124" t="n">
        <f aca="false">I51-I55</f>
        <v>0</v>
      </c>
      <c r="J56" s="125" t="n">
        <f aca="false">J51-J55</f>
        <v>0</v>
      </c>
      <c r="K56" s="124" t="n">
        <f aca="false">K51-K55</f>
        <v>0</v>
      </c>
      <c r="L56" s="124" t="n">
        <f aca="false">L51-L55</f>
        <v>0</v>
      </c>
      <c r="M56" s="125" t="n">
        <f aca="false">M51-M55</f>
        <v>0</v>
      </c>
      <c r="N56" s="2"/>
      <c r="O56" s="1"/>
      <c r="P56" s="1"/>
    </row>
    <row r="57" customFormat="false" ht="15" hidden="false" customHeight="true" outlineLevel="0" collapsed="false">
      <c r="A57" s="1"/>
      <c r="B57" s="126"/>
      <c r="C57" s="127"/>
      <c r="D57" s="128"/>
      <c r="E57" s="129"/>
      <c r="F57" s="129"/>
      <c r="G57" s="129"/>
      <c r="H57" s="129"/>
      <c r="I57" s="129"/>
      <c r="J57" s="129"/>
      <c r="K57" s="129"/>
      <c r="L57" s="129"/>
      <c r="M57" s="129"/>
      <c r="N57" s="2"/>
      <c r="O57" s="1"/>
      <c r="P57" s="1"/>
    </row>
    <row r="58" customFormat="false" ht="15" hidden="false" customHeight="true" outlineLevel="0" collapsed="false">
      <c r="A58" s="22"/>
      <c r="B58" s="23" t="s">
        <v>65</v>
      </c>
      <c r="C58" s="23"/>
      <c r="D58" s="23"/>
      <c r="E58" s="24" t="s">
        <v>11</v>
      </c>
      <c r="F58" s="24"/>
      <c r="G58" s="24"/>
      <c r="H58" s="24" t="str">
        <f aca="false">H8</f>
        <v>Total Fund (incl. GP Allocation)</v>
      </c>
      <c r="I58" s="24"/>
      <c r="J58" s="24"/>
      <c r="K58" s="24" t="str">
        <f aca="false">K8</f>
        <v>GP's Allocation of Total Fund</v>
      </c>
      <c r="L58" s="24"/>
      <c r="M58" s="24"/>
      <c r="N58" s="26"/>
      <c r="O58" s="22"/>
      <c r="P58" s="22"/>
    </row>
    <row r="59" customFormat="false" ht="14.25" hidden="false" customHeight="true" outlineLevel="0" collapsed="false">
      <c r="A59" s="1"/>
      <c r="B59" s="130" t="s">
        <v>66</v>
      </c>
      <c r="C59" s="130"/>
      <c r="D59" s="130"/>
      <c r="E59" s="131" t="n">
        <v>0</v>
      </c>
      <c r="F59" s="132" t="n">
        <f aca="false">E59</f>
        <v>0</v>
      </c>
      <c r="G59" s="133" t="n">
        <f aca="false">E59</f>
        <v>0</v>
      </c>
      <c r="H59" s="30" t="n">
        <v>0</v>
      </c>
      <c r="I59" s="134" t="n">
        <f aca="false">H59</f>
        <v>0</v>
      </c>
      <c r="J59" s="135" t="n">
        <f aca="false">H59</f>
        <v>0</v>
      </c>
      <c r="K59" s="30" t="n">
        <v>0</v>
      </c>
      <c r="L59" s="134" t="n">
        <f aca="false">K59</f>
        <v>0</v>
      </c>
      <c r="M59" s="135" t="n">
        <f aca="false">K59</f>
        <v>0</v>
      </c>
      <c r="N59" s="2"/>
      <c r="O59" s="1"/>
      <c r="P59" s="1"/>
    </row>
    <row r="60" customFormat="false" ht="14.25" hidden="false" customHeight="true" outlineLevel="0" collapsed="false">
      <c r="A60" s="1"/>
      <c r="B60" s="136" t="s">
        <v>67</v>
      </c>
      <c r="C60" s="136"/>
      <c r="D60" s="136"/>
      <c r="E60" s="137" t="n">
        <v>0</v>
      </c>
      <c r="F60" s="138" t="n">
        <v>0</v>
      </c>
      <c r="G60" s="139" t="n">
        <f aca="false">E59</f>
        <v>0</v>
      </c>
      <c r="H60" s="140" t="n">
        <v>0</v>
      </c>
      <c r="I60" s="141" t="n">
        <v>0</v>
      </c>
      <c r="J60" s="142" t="n">
        <f aca="false">H59</f>
        <v>0</v>
      </c>
      <c r="K60" s="102" t="n">
        <v>0</v>
      </c>
      <c r="L60" s="103" t="n">
        <v>0</v>
      </c>
      <c r="M60" s="101" t="n">
        <f aca="false">K59</f>
        <v>0</v>
      </c>
      <c r="N60" s="2"/>
      <c r="O60" s="1"/>
      <c r="P60" s="1"/>
    </row>
    <row r="61" customFormat="false" ht="14.25" hidden="false" customHeight="true" outlineLevel="0" collapsed="false">
      <c r="A61" s="1"/>
      <c r="B61" s="60" t="s">
        <v>68</v>
      </c>
      <c r="C61" s="60"/>
      <c r="D61" s="60"/>
      <c r="E61" s="143" t="n">
        <v>0</v>
      </c>
      <c r="F61" s="35" t="n">
        <v>0</v>
      </c>
      <c r="G61" s="36" t="n">
        <v>0</v>
      </c>
      <c r="H61" s="37" t="n">
        <v>0</v>
      </c>
      <c r="I61" s="38" t="n">
        <v>0</v>
      </c>
      <c r="J61" s="39" t="n">
        <v>0</v>
      </c>
      <c r="K61" s="37" t="n">
        <v>0</v>
      </c>
      <c r="L61" s="38" t="n">
        <v>0</v>
      </c>
      <c r="M61" s="39" t="n">
        <v>0</v>
      </c>
      <c r="N61" s="2"/>
      <c r="O61" s="1"/>
      <c r="P61" s="1"/>
    </row>
    <row r="62" customFormat="false" ht="14.25" hidden="false" customHeight="true" outlineLevel="0" collapsed="false">
      <c r="A62" s="1"/>
      <c r="B62" s="60" t="s">
        <v>69</v>
      </c>
      <c r="C62" s="60"/>
      <c r="D62" s="60"/>
      <c r="E62" s="143" t="n">
        <v>0</v>
      </c>
      <c r="F62" s="35" t="n">
        <v>0</v>
      </c>
      <c r="G62" s="36" t="n">
        <v>0</v>
      </c>
      <c r="H62" s="37" t="n">
        <v>0</v>
      </c>
      <c r="I62" s="38" t="n">
        <v>0</v>
      </c>
      <c r="J62" s="39" t="n">
        <v>0</v>
      </c>
      <c r="K62" s="37" t="n">
        <v>0</v>
      </c>
      <c r="L62" s="38" t="n">
        <v>0</v>
      </c>
      <c r="M62" s="39" t="n">
        <v>0</v>
      </c>
      <c r="N62" s="2"/>
      <c r="O62" s="1"/>
      <c r="P62" s="1"/>
    </row>
    <row r="63" customFormat="false" ht="14.25" hidden="false" customHeight="true" outlineLevel="0" collapsed="false">
      <c r="A63" s="1"/>
      <c r="B63" s="60" t="s">
        <v>70</v>
      </c>
      <c r="C63" s="60"/>
      <c r="D63" s="60"/>
      <c r="E63" s="143" t="n">
        <v>0</v>
      </c>
      <c r="F63" s="35" t="n">
        <v>0</v>
      </c>
      <c r="G63" s="36" t="n">
        <v>0</v>
      </c>
      <c r="H63" s="37" t="n">
        <v>0</v>
      </c>
      <c r="I63" s="38" t="n">
        <v>0</v>
      </c>
      <c r="J63" s="39" t="n">
        <v>0</v>
      </c>
      <c r="K63" s="37" t="n">
        <v>0</v>
      </c>
      <c r="L63" s="38" t="n">
        <v>0</v>
      </c>
      <c r="M63" s="39" t="n">
        <v>0</v>
      </c>
      <c r="N63" s="2"/>
      <c r="O63" s="1"/>
      <c r="P63" s="1"/>
    </row>
    <row r="64" customFormat="false" ht="14.25" hidden="false" customHeight="true" outlineLevel="0" collapsed="false">
      <c r="A64" s="1"/>
      <c r="B64" s="60" t="s">
        <v>71</v>
      </c>
      <c r="C64" s="60"/>
      <c r="D64" s="60"/>
      <c r="E64" s="143" t="n">
        <v>0</v>
      </c>
      <c r="F64" s="35" t="n">
        <v>0</v>
      </c>
      <c r="G64" s="36" t="n">
        <v>0</v>
      </c>
      <c r="H64" s="37" t="n">
        <v>0</v>
      </c>
      <c r="I64" s="38" t="n">
        <v>0</v>
      </c>
      <c r="J64" s="39" t="n">
        <v>0</v>
      </c>
      <c r="K64" s="37" t="n">
        <v>0</v>
      </c>
      <c r="L64" s="38" t="n">
        <v>0</v>
      </c>
      <c r="M64" s="39" t="n">
        <v>0</v>
      </c>
      <c r="N64" s="2"/>
      <c r="O64" s="18"/>
      <c r="P64" s="18"/>
    </row>
    <row r="65" customFormat="false" ht="15" hidden="false" customHeight="true" outlineLevel="0" collapsed="false">
      <c r="A65" s="1"/>
      <c r="B65" s="144" t="s">
        <v>72</v>
      </c>
      <c r="C65" s="144"/>
      <c r="D65" s="144"/>
      <c r="E65" s="145" t="n">
        <f aca="false">SUM(E60:E64)</f>
        <v>0</v>
      </c>
      <c r="F65" s="121" t="n">
        <f aca="false">SUM(F60:F64)</f>
        <v>0</v>
      </c>
      <c r="G65" s="122" t="n">
        <f aca="false">SUM(G60:G64)</f>
        <v>0</v>
      </c>
      <c r="H65" s="146" t="n">
        <f aca="false">SUM(H60:H64)</f>
        <v>0</v>
      </c>
      <c r="I65" s="147" t="n">
        <f aca="false">SUM(I60:I64)</f>
        <v>0</v>
      </c>
      <c r="J65" s="148" t="n">
        <f aca="false">SUM(J60:J64)</f>
        <v>0</v>
      </c>
      <c r="K65" s="146" t="n">
        <f aca="false">SUM(K60:K64)</f>
        <v>0</v>
      </c>
      <c r="L65" s="147" t="n">
        <f aca="false">SUM(L60:L64)</f>
        <v>0</v>
      </c>
      <c r="M65" s="148" t="n">
        <f aca="false">SUM(M60:M64)</f>
        <v>0</v>
      </c>
      <c r="N65" s="2"/>
      <c r="O65" s="18"/>
      <c r="P65" s="18"/>
    </row>
    <row r="66" customFormat="false" ht="15" hidden="false" customHeight="true" outlineLevel="0" collapsed="false">
      <c r="A66" s="1"/>
      <c r="B66" s="149"/>
      <c r="C66" s="149"/>
      <c r="D66" s="149"/>
      <c r="E66" s="129"/>
      <c r="F66" s="129"/>
      <c r="G66" s="129"/>
      <c r="H66" s="129"/>
      <c r="I66" s="129"/>
      <c r="J66" s="129"/>
      <c r="K66" s="129"/>
      <c r="L66" s="129"/>
      <c r="M66" s="129"/>
      <c r="N66" s="2"/>
      <c r="O66" s="18"/>
      <c r="P66" s="18"/>
    </row>
    <row r="67" customFormat="false" ht="15" hidden="false" customHeight="true" outlineLevel="0" collapsed="false">
      <c r="A67" s="22"/>
      <c r="B67" s="150" t="s">
        <v>73</v>
      </c>
      <c r="C67" s="150"/>
      <c r="D67" s="150"/>
      <c r="E67" s="151" t="s">
        <v>11</v>
      </c>
      <c r="F67" s="151"/>
      <c r="G67" s="151"/>
      <c r="H67" s="151" t="str">
        <f aca="false">H8</f>
        <v>Total Fund (incl. GP Allocation)</v>
      </c>
      <c r="I67" s="151"/>
      <c r="J67" s="151"/>
      <c r="K67" s="151" t="str">
        <f aca="false">K8</f>
        <v>GP's Allocation of Total Fund</v>
      </c>
      <c r="L67" s="151"/>
      <c r="M67" s="151"/>
      <c r="N67" s="26"/>
      <c r="O67" s="22"/>
      <c r="P67" s="22"/>
    </row>
    <row r="68" customFormat="false" ht="14.25" hidden="false" customHeight="true" outlineLevel="0" collapsed="false">
      <c r="A68" s="22"/>
      <c r="B68" s="54" t="s">
        <v>74</v>
      </c>
      <c r="C68" s="54"/>
      <c r="D68" s="54"/>
      <c r="E68" s="137" t="n">
        <v>0</v>
      </c>
      <c r="F68" s="152" t="n">
        <f aca="false">E68</f>
        <v>0</v>
      </c>
      <c r="G68" s="139" t="n">
        <f aca="false">E68</f>
        <v>0</v>
      </c>
      <c r="H68" s="153" t="n">
        <v>0</v>
      </c>
      <c r="I68" s="154" t="n">
        <f aca="false">H68</f>
        <v>0</v>
      </c>
      <c r="J68" s="155" t="n">
        <f aca="false">H68</f>
        <v>0</v>
      </c>
      <c r="K68" s="153" t="n">
        <v>0</v>
      </c>
      <c r="L68" s="154" t="n">
        <f aca="false">K68</f>
        <v>0</v>
      </c>
      <c r="M68" s="155" t="n">
        <f aca="false">K68</f>
        <v>0</v>
      </c>
      <c r="N68" s="26"/>
      <c r="O68" s="22"/>
      <c r="P68" s="22"/>
    </row>
    <row r="69" customFormat="false" ht="14.25" hidden="false" customHeight="true" outlineLevel="0" collapsed="false">
      <c r="A69" s="22"/>
      <c r="B69" s="54" t="s">
        <v>75</v>
      </c>
      <c r="C69" s="54"/>
      <c r="D69" s="54"/>
      <c r="E69" s="137" t="n">
        <v>0</v>
      </c>
      <c r="F69" s="152" t="n">
        <f aca="false">E69</f>
        <v>0</v>
      </c>
      <c r="G69" s="139" t="n">
        <f aca="false">E69</f>
        <v>0</v>
      </c>
      <c r="H69" s="153" t="n">
        <v>0</v>
      </c>
      <c r="I69" s="154" t="n">
        <f aca="false">H69</f>
        <v>0</v>
      </c>
      <c r="J69" s="155" t="n">
        <v>0</v>
      </c>
      <c r="K69" s="153" t="n">
        <v>0</v>
      </c>
      <c r="L69" s="154" t="n">
        <f aca="false">K69</f>
        <v>0</v>
      </c>
      <c r="M69" s="155" t="n">
        <f aca="false">K69</f>
        <v>0</v>
      </c>
      <c r="N69" s="26"/>
      <c r="O69" s="22"/>
      <c r="P69" s="22"/>
    </row>
    <row r="70" customFormat="false" ht="14.25" hidden="false" customHeight="true" outlineLevel="0" collapsed="false">
      <c r="A70" s="22"/>
      <c r="B70" s="156" t="s">
        <v>76</v>
      </c>
      <c r="C70" s="156"/>
      <c r="D70" s="156"/>
      <c r="E70" s="137" t="n">
        <v>0</v>
      </c>
      <c r="F70" s="138" t="n">
        <v>0</v>
      </c>
      <c r="G70" s="157" t="n">
        <v>0</v>
      </c>
      <c r="H70" s="153" t="n">
        <v>0</v>
      </c>
      <c r="I70" s="158" t="n">
        <v>0</v>
      </c>
      <c r="J70" s="159" t="n">
        <v>0</v>
      </c>
      <c r="K70" s="153" t="n">
        <v>0</v>
      </c>
      <c r="L70" s="158" t="n">
        <v>0</v>
      </c>
      <c r="M70" s="159" t="n">
        <v>0</v>
      </c>
      <c r="N70" s="26"/>
      <c r="O70" s="22"/>
      <c r="P70" s="22"/>
    </row>
    <row r="71" customFormat="false" ht="14.25" hidden="false" customHeight="true" outlineLevel="0" collapsed="false">
      <c r="A71" s="22"/>
      <c r="B71" s="156" t="s">
        <v>77</v>
      </c>
      <c r="C71" s="156"/>
      <c r="D71" s="156"/>
      <c r="E71" s="137" t="n">
        <v>0</v>
      </c>
      <c r="F71" s="138" t="n">
        <v>0</v>
      </c>
      <c r="G71" s="157" t="n">
        <v>0</v>
      </c>
      <c r="H71" s="153" t="n">
        <v>0</v>
      </c>
      <c r="I71" s="158" t="n">
        <v>0</v>
      </c>
      <c r="J71" s="159" t="n">
        <v>0</v>
      </c>
      <c r="K71" s="160"/>
      <c r="L71" s="160"/>
      <c r="M71" s="160"/>
      <c r="N71" s="26"/>
      <c r="O71" s="22"/>
      <c r="P71" s="22"/>
    </row>
    <row r="72" customFormat="false" ht="14.25" hidden="false" customHeight="true" outlineLevel="0" collapsed="false">
      <c r="A72" s="22"/>
      <c r="B72" s="54" t="s">
        <v>78</v>
      </c>
      <c r="C72" s="54"/>
      <c r="D72" s="54"/>
      <c r="E72" s="137" t="n">
        <v>0</v>
      </c>
      <c r="F72" s="138" t="n">
        <v>0</v>
      </c>
      <c r="G72" s="157" t="n">
        <v>0</v>
      </c>
      <c r="H72" s="161" t="n">
        <v>0</v>
      </c>
      <c r="I72" s="162" t="n">
        <v>0</v>
      </c>
      <c r="J72" s="163" t="n">
        <v>0</v>
      </c>
      <c r="K72" s="160"/>
      <c r="L72" s="160"/>
      <c r="M72" s="160"/>
      <c r="N72" s="26"/>
      <c r="O72" s="22"/>
      <c r="P72" s="22"/>
    </row>
    <row r="73" customFormat="false" ht="15" hidden="false" customHeight="true" outlineLevel="0" collapsed="false">
      <c r="A73" s="22"/>
      <c r="B73" s="164" t="s">
        <v>79</v>
      </c>
      <c r="C73" s="164"/>
      <c r="D73" s="164"/>
      <c r="E73" s="121" t="n">
        <f aca="false">IFERROR(H73*E59/H59,0)</f>
        <v>0</v>
      </c>
      <c r="F73" s="121" t="n">
        <f aca="false">IFERROR(I73*E59/H59,0)</f>
        <v>0</v>
      </c>
      <c r="G73" s="122" t="n">
        <f aca="false">IFERROR(J73*E59/H59,0)</f>
        <v>0</v>
      </c>
      <c r="H73" s="123" t="n">
        <v>0</v>
      </c>
      <c r="I73" s="124" t="n">
        <v>0</v>
      </c>
      <c r="J73" s="125" t="n">
        <v>0</v>
      </c>
      <c r="K73" s="160"/>
      <c r="L73" s="160"/>
      <c r="M73" s="160"/>
      <c r="N73" s="26"/>
      <c r="O73" s="22"/>
      <c r="P73" s="22"/>
    </row>
    <row r="74" customFormat="false" ht="14.25" hidden="false" customHeight="true" outlineLevel="0" collapsed="false">
      <c r="A74" s="1"/>
      <c r="B74" s="20" t="s">
        <v>80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165"/>
      <c r="O74" s="18"/>
      <c r="P74" s="18"/>
    </row>
    <row r="75" customFormat="false" ht="15" hidden="false" customHeight="true" outlineLevel="0" collapsed="false">
      <c r="A75" s="1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165"/>
      <c r="O75" s="1"/>
      <c r="P75" s="1"/>
    </row>
    <row r="76" customFormat="false" ht="15" hidden="false" customHeight="true" outlineLevel="0" collapsed="false">
      <c r="A76" s="22"/>
      <c r="B76" s="23" t="s">
        <v>81</v>
      </c>
      <c r="C76" s="23"/>
      <c r="D76" s="23"/>
      <c r="E76" s="166" t="s">
        <v>11</v>
      </c>
      <c r="F76" s="166"/>
      <c r="G76" s="166"/>
      <c r="H76" s="167" t="s">
        <v>82</v>
      </c>
      <c r="I76" s="167"/>
      <c r="J76" s="167"/>
      <c r="K76" s="167" t="s">
        <v>83</v>
      </c>
      <c r="L76" s="167"/>
      <c r="M76" s="167"/>
      <c r="N76" s="26"/>
      <c r="O76" s="22"/>
      <c r="P76" s="22"/>
    </row>
    <row r="77" customFormat="false" ht="14.25" hidden="false" customHeight="true" outlineLevel="0" collapsed="false">
      <c r="A77" s="1"/>
      <c r="B77" s="168" t="s">
        <v>84</v>
      </c>
      <c r="C77" s="169" t="s">
        <v>85</v>
      </c>
      <c r="D77" s="169"/>
      <c r="E77" s="170" t="n">
        <f aca="false">-(E14+E15)</f>
        <v>-0</v>
      </c>
      <c r="F77" s="171" t="n">
        <f aca="false">-(F14+F15)</f>
        <v>-0</v>
      </c>
      <c r="G77" s="171" t="n">
        <f aca="false">-(G14+G15)</f>
        <v>-0</v>
      </c>
      <c r="H77" s="172" t="n">
        <f aca="false">-(H14+H15-K14-K15)</f>
        <v>-0</v>
      </c>
      <c r="I77" s="173" t="n">
        <f aca="false">-(I14+I15-L14-L15)</f>
        <v>-0</v>
      </c>
      <c r="J77" s="174" t="n">
        <f aca="false">-(J14+J15-M14-M15)</f>
        <v>-0</v>
      </c>
      <c r="K77" s="175"/>
      <c r="L77" s="175"/>
      <c r="M77" s="175"/>
      <c r="N77" s="2"/>
      <c r="O77" s="1"/>
      <c r="P77" s="1"/>
    </row>
    <row r="78" customFormat="false" ht="14.25" hidden="false" customHeight="true" outlineLevel="0" collapsed="false">
      <c r="A78" s="1"/>
      <c r="B78" s="168"/>
      <c r="C78" s="176" t="s">
        <v>86</v>
      </c>
      <c r="D78" s="176"/>
      <c r="E78" s="143" t="n">
        <v>0</v>
      </c>
      <c r="F78" s="35" t="n">
        <v>0</v>
      </c>
      <c r="G78" s="35" t="n">
        <v>0</v>
      </c>
      <c r="H78" s="43" t="n">
        <v>0</v>
      </c>
      <c r="I78" s="44" t="n">
        <v>0</v>
      </c>
      <c r="J78" s="45" t="n">
        <v>0</v>
      </c>
      <c r="K78" s="175"/>
      <c r="L78" s="175"/>
      <c r="M78" s="175"/>
      <c r="N78" s="2"/>
      <c r="O78" s="1"/>
      <c r="P78" s="1"/>
    </row>
    <row r="79" customFormat="false" ht="14.25" hidden="false" customHeight="true" outlineLevel="0" collapsed="false">
      <c r="A79" s="1"/>
      <c r="B79" s="168"/>
      <c r="C79" s="176" t="s">
        <v>87</v>
      </c>
      <c r="D79" s="176"/>
      <c r="E79" s="177" t="n">
        <f aca="false">-E26</f>
        <v>-0</v>
      </c>
      <c r="F79" s="49" t="n">
        <f aca="false">-F26</f>
        <v>-0</v>
      </c>
      <c r="G79" s="49" t="n">
        <f aca="false">-G26</f>
        <v>-0</v>
      </c>
      <c r="H79" s="117" t="n">
        <f aca="false">-H26</f>
        <v>-0</v>
      </c>
      <c r="I79" s="118" t="n">
        <f aca="false">-I26</f>
        <v>-0</v>
      </c>
      <c r="J79" s="119" t="n">
        <f aca="false">-J26</f>
        <v>-0</v>
      </c>
      <c r="K79" s="175"/>
      <c r="L79" s="175"/>
      <c r="M79" s="175"/>
      <c r="N79" s="2"/>
      <c r="O79" s="1"/>
      <c r="P79" s="1"/>
    </row>
    <row r="80" customFormat="false" ht="14.25" hidden="false" customHeight="true" outlineLevel="0" collapsed="false">
      <c r="A80" s="1"/>
      <c r="B80" s="168"/>
      <c r="C80" s="176" t="s">
        <v>88</v>
      </c>
      <c r="D80" s="176"/>
      <c r="E80" s="143" t="n">
        <v>0</v>
      </c>
      <c r="F80" s="35" t="n">
        <v>0</v>
      </c>
      <c r="G80" s="35" t="n">
        <v>0</v>
      </c>
      <c r="H80" s="37" t="n">
        <v>0</v>
      </c>
      <c r="I80" s="38" t="n">
        <v>0</v>
      </c>
      <c r="J80" s="39" t="n">
        <v>0</v>
      </c>
      <c r="K80" s="175"/>
      <c r="L80" s="175"/>
      <c r="M80" s="175"/>
      <c r="N80" s="2"/>
      <c r="O80" s="1"/>
      <c r="P80" s="1"/>
    </row>
    <row r="81" customFormat="false" ht="15" hidden="false" customHeight="true" outlineLevel="0" collapsed="false">
      <c r="A81" s="1"/>
      <c r="B81" s="168"/>
      <c r="C81" s="178" t="s">
        <v>62</v>
      </c>
      <c r="D81" s="178"/>
      <c r="E81" s="179" t="n">
        <f aca="false">-E54</f>
        <v>-0</v>
      </c>
      <c r="F81" s="180" t="n">
        <f aca="false">-F54</f>
        <v>-0</v>
      </c>
      <c r="G81" s="180" t="n">
        <f aca="false">-G54</f>
        <v>-0</v>
      </c>
      <c r="H81" s="181" t="n">
        <f aca="false">K54</f>
        <v>0</v>
      </c>
      <c r="I81" s="182" t="n">
        <f aca="false">L54</f>
        <v>0</v>
      </c>
      <c r="J81" s="183" t="n">
        <f aca="false">M54</f>
        <v>0</v>
      </c>
      <c r="K81" s="175"/>
      <c r="L81" s="175"/>
      <c r="M81" s="175"/>
      <c r="N81" s="2"/>
      <c r="O81" s="1"/>
      <c r="P81" s="1"/>
    </row>
    <row r="82" customFormat="false" ht="14.25" hidden="false" customHeight="true" outlineLevel="0" collapsed="false">
      <c r="A82" s="1"/>
      <c r="B82" s="168" t="s">
        <v>89</v>
      </c>
      <c r="C82" s="184" t="s">
        <v>90</v>
      </c>
      <c r="D82" s="184"/>
      <c r="E82" s="177" t="n">
        <f aca="false">SUM(E83:E89)</f>
        <v>0</v>
      </c>
      <c r="F82" s="49" t="n">
        <f aca="false">SUM(F83:F89)</f>
        <v>0</v>
      </c>
      <c r="G82" s="49" t="n">
        <f aca="false">SUM(G83:G89)</f>
        <v>0</v>
      </c>
      <c r="H82" s="64" t="n">
        <f aca="false">SUM(H83:H89)</f>
        <v>0</v>
      </c>
      <c r="I82" s="65" t="n">
        <f aca="false">SUM(I83:I89)</f>
        <v>0</v>
      </c>
      <c r="J82" s="66" t="n">
        <f aca="false">SUM(J83:J89)</f>
        <v>0</v>
      </c>
      <c r="K82" s="185" t="n">
        <f aca="false">SUM(K83:K89)</f>
        <v>0</v>
      </c>
      <c r="L82" s="186" t="n">
        <f aca="false">SUM(L83:L89)</f>
        <v>0</v>
      </c>
      <c r="M82" s="187" t="n">
        <f aca="false">SUM(M83:M89)</f>
        <v>0</v>
      </c>
      <c r="N82" s="2"/>
      <c r="O82" s="1"/>
      <c r="P82" s="1"/>
    </row>
    <row r="83" customFormat="false" ht="14.25" hidden="false" customHeight="true" outlineLevel="0" collapsed="false">
      <c r="A83" s="1"/>
      <c r="B83" s="168"/>
      <c r="C83" s="188" t="s">
        <v>91</v>
      </c>
      <c r="D83" s="188"/>
      <c r="E83" s="143" t="n">
        <v>0</v>
      </c>
      <c r="F83" s="35" t="n">
        <v>0</v>
      </c>
      <c r="G83" s="35" t="n">
        <v>0</v>
      </c>
      <c r="H83" s="189" t="n">
        <v>0</v>
      </c>
      <c r="I83" s="190" t="n">
        <v>0</v>
      </c>
      <c r="J83" s="191" t="n">
        <v>0</v>
      </c>
      <c r="K83" s="189" t="n">
        <v>0</v>
      </c>
      <c r="L83" s="190" t="n">
        <v>0</v>
      </c>
      <c r="M83" s="191" t="n">
        <v>0</v>
      </c>
      <c r="N83" s="2"/>
      <c r="O83" s="1"/>
      <c r="P83" s="1"/>
    </row>
    <row r="84" customFormat="false" ht="14.25" hidden="false" customHeight="true" outlineLevel="0" collapsed="false">
      <c r="A84" s="1"/>
      <c r="B84" s="168"/>
      <c r="C84" s="188" t="s">
        <v>92</v>
      </c>
      <c r="D84" s="188"/>
      <c r="E84" s="143" t="n">
        <v>0</v>
      </c>
      <c r="F84" s="35" t="n">
        <v>0</v>
      </c>
      <c r="G84" s="35" t="n">
        <v>0</v>
      </c>
      <c r="H84" s="189" t="n">
        <v>0</v>
      </c>
      <c r="I84" s="190" t="n">
        <v>0</v>
      </c>
      <c r="J84" s="191" t="n">
        <v>0</v>
      </c>
      <c r="K84" s="189" t="n">
        <v>0</v>
      </c>
      <c r="L84" s="190" t="n">
        <v>0</v>
      </c>
      <c r="M84" s="191" t="n">
        <v>0</v>
      </c>
      <c r="N84" s="2"/>
      <c r="O84" s="1"/>
      <c r="P84" s="1"/>
    </row>
    <row r="85" customFormat="false" ht="14.25" hidden="false" customHeight="true" outlineLevel="0" collapsed="false">
      <c r="A85" s="1"/>
      <c r="B85" s="168"/>
      <c r="C85" s="188" t="s">
        <v>93</v>
      </c>
      <c r="D85" s="188"/>
      <c r="E85" s="143" t="n">
        <v>0</v>
      </c>
      <c r="F85" s="35" t="n">
        <v>0</v>
      </c>
      <c r="G85" s="35" t="n">
        <v>0</v>
      </c>
      <c r="H85" s="189" t="n">
        <v>0</v>
      </c>
      <c r="I85" s="190" t="n">
        <v>0</v>
      </c>
      <c r="J85" s="191" t="n">
        <v>0</v>
      </c>
      <c r="K85" s="189" t="n">
        <v>0</v>
      </c>
      <c r="L85" s="190" t="n">
        <v>0</v>
      </c>
      <c r="M85" s="191" t="n">
        <v>0</v>
      </c>
      <c r="N85" s="2"/>
      <c r="O85" s="1"/>
      <c r="P85" s="1"/>
    </row>
    <row r="86" customFormat="false" ht="14.25" hidden="false" customHeight="true" outlineLevel="0" collapsed="false">
      <c r="A86" s="1"/>
      <c r="B86" s="168"/>
      <c r="C86" s="188" t="s">
        <v>94</v>
      </c>
      <c r="D86" s="188"/>
      <c r="E86" s="143" t="n">
        <v>0</v>
      </c>
      <c r="F86" s="35" t="n">
        <v>0</v>
      </c>
      <c r="G86" s="35" t="n">
        <v>0</v>
      </c>
      <c r="H86" s="189" t="n">
        <v>0</v>
      </c>
      <c r="I86" s="190" t="n">
        <v>0</v>
      </c>
      <c r="J86" s="191" t="n">
        <v>0</v>
      </c>
      <c r="K86" s="189" t="n">
        <v>0</v>
      </c>
      <c r="L86" s="190" t="n">
        <v>0</v>
      </c>
      <c r="M86" s="191" t="n">
        <v>0</v>
      </c>
      <c r="N86" s="2"/>
      <c r="O86" s="1"/>
      <c r="P86" s="1"/>
    </row>
    <row r="87" customFormat="false" ht="14.25" hidden="false" customHeight="true" outlineLevel="0" collapsed="false">
      <c r="A87" s="1"/>
      <c r="B87" s="168"/>
      <c r="C87" s="188" t="s">
        <v>95</v>
      </c>
      <c r="D87" s="188"/>
      <c r="E87" s="143" t="n">
        <v>0</v>
      </c>
      <c r="F87" s="35" t="n">
        <v>0</v>
      </c>
      <c r="G87" s="35" t="n">
        <v>0</v>
      </c>
      <c r="H87" s="189" t="n">
        <v>0</v>
      </c>
      <c r="I87" s="190" t="n">
        <v>0</v>
      </c>
      <c r="J87" s="191" t="n">
        <v>0</v>
      </c>
      <c r="K87" s="189" t="n">
        <v>0</v>
      </c>
      <c r="L87" s="190" t="n">
        <v>0</v>
      </c>
      <c r="M87" s="191" t="n">
        <v>0</v>
      </c>
      <c r="N87" s="2"/>
      <c r="O87" s="1"/>
      <c r="P87" s="1"/>
    </row>
    <row r="88" customFormat="false" ht="14.25" hidden="false" customHeight="true" outlineLevel="0" collapsed="false">
      <c r="A88" s="1"/>
      <c r="B88" s="168"/>
      <c r="C88" s="188" t="s">
        <v>96</v>
      </c>
      <c r="D88" s="188"/>
      <c r="E88" s="143" t="n">
        <v>0</v>
      </c>
      <c r="F88" s="35" t="n">
        <v>0</v>
      </c>
      <c r="G88" s="35" t="n">
        <v>0</v>
      </c>
      <c r="H88" s="189" t="n">
        <v>0</v>
      </c>
      <c r="I88" s="190" t="n">
        <v>0</v>
      </c>
      <c r="J88" s="191" t="n">
        <v>0</v>
      </c>
      <c r="K88" s="189" t="n">
        <v>0</v>
      </c>
      <c r="L88" s="190" t="n">
        <v>0</v>
      </c>
      <c r="M88" s="191" t="n">
        <v>0</v>
      </c>
      <c r="N88" s="2"/>
      <c r="O88" s="1"/>
      <c r="P88" s="1"/>
    </row>
    <row r="89" customFormat="false" ht="14.25" hidden="false" customHeight="true" outlineLevel="0" collapsed="false">
      <c r="A89" s="1"/>
      <c r="B89" s="168"/>
      <c r="C89" s="188" t="s">
        <v>97</v>
      </c>
      <c r="D89" s="188"/>
      <c r="E89" s="143" t="n">
        <v>0</v>
      </c>
      <c r="F89" s="35" t="n">
        <v>0</v>
      </c>
      <c r="G89" s="35" t="n">
        <v>0</v>
      </c>
      <c r="H89" s="189" t="n">
        <v>0</v>
      </c>
      <c r="I89" s="190" t="n">
        <v>0</v>
      </c>
      <c r="J89" s="191" t="n">
        <v>0</v>
      </c>
      <c r="K89" s="189" t="n">
        <v>0</v>
      </c>
      <c r="L89" s="190" t="n">
        <v>0</v>
      </c>
      <c r="M89" s="191" t="n">
        <v>0</v>
      </c>
      <c r="N89" s="2"/>
      <c r="O89" s="1"/>
      <c r="P89" s="1"/>
    </row>
    <row r="90" customFormat="false" ht="15" hidden="false" customHeight="true" outlineLevel="0" collapsed="false">
      <c r="A90" s="1"/>
      <c r="B90" s="168"/>
      <c r="C90" s="192" t="s">
        <v>98</v>
      </c>
      <c r="D90" s="192"/>
      <c r="E90" s="193" t="n">
        <v>0</v>
      </c>
      <c r="F90" s="194" t="n">
        <v>0</v>
      </c>
      <c r="G90" s="194" t="n">
        <v>0</v>
      </c>
      <c r="H90" s="195" t="n">
        <v>0</v>
      </c>
      <c r="I90" s="196" t="n">
        <v>0</v>
      </c>
      <c r="J90" s="196" t="n">
        <v>0</v>
      </c>
      <c r="K90" s="195" t="n">
        <v>0</v>
      </c>
      <c r="L90" s="196" t="n">
        <v>0</v>
      </c>
      <c r="M90" s="197" t="n">
        <v>0</v>
      </c>
      <c r="N90" s="2"/>
      <c r="O90" s="1"/>
      <c r="P90" s="1"/>
    </row>
    <row r="91" customFormat="false" ht="15" hidden="false" customHeight="true" outlineLevel="0" collapsed="false">
      <c r="A91" s="22"/>
      <c r="B91" s="198" t="s">
        <v>99</v>
      </c>
      <c r="C91" s="198"/>
      <c r="D91" s="198"/>
      <c r="E91" s="145" t="n">
        <f aca="false">SUM(E77:E82,E90)</f>
        <v>0</v>
      </c>
      <c r="F91" s="121" t="n">
        <f aca="false">SUM(F77:F82,F90)</f>
        <v>0</v>
      </c>
      <c r="G91" s="122" t="n">
        <f aca="false">SUM(G77:G82,G90)</f>
        <v>0</v>
      </c>
      <c r="H91" s="146" t="n">
        <f aca="false">SUM(H77:H82,H90)</f>
        <v>0</v>
      </c>
      <c r="I91" s="147" t="n">
        <f aca="false">SUM(I77:I82,I90)</f>
        <v>0</v>
      </c>
      <c r="J91" s="148" t="n">
        <f aca="false">SUM(J77:J82,J90)</f>
        <v>0</v>
      </c>
      <c r="K91" s="146" t="n">
        <f aca="false">SUM(K77:K82,K90)</f>
        <v>0</v>
      </c>
      <c r="L91" s="147" t="n">
        <f aca="false">SUM(L77:L82,L90)</f>
        <v>0</v>
      </c>
      <c r="M91" s="148" t="n">
        <f aca="false">SUM(M77:M82,M90)</f>
        <v>0</v>
      </c>
      <c r="N91" s="26"/>
      <c r="O91" s="22"/>
      <c r="P91" s="22"/>
    </row>
    <row r="92" customFormat="false" ht="14.25" hidden="false" customHeight="false" outlineLevel="0" collapsed="false">
      <c r="A92" s="1"/>
      <c r="B92" s="1"/>
      <c r="C92" s="22"/>
      <c r="D92" s="22"/>
      <c r="E92" s="199"/>
      <c r="F92" s="199"/>
      <c r="G92" s="199"/>
      <c r="H92" s="199"/>
      <c r="I92" s="199"/>
      <c r="J92" s="199"/>
      <c r="K92" s="199"/>
      <c r="L92" s="199"/>
      <c r="M92" s="199"/>
      <c r="N92" s="2"/>
      <c r="O92" s="1"/>
      <c r="P92" s="1"/>
    </row>
    <row r="93" customFormat="false" ht="14.25" hidden="false" customHeight="false" outlineLevel="0" collapsed="false">
      <c r="A93" s="22"/>
      <c r="B93" s="200" t="s">
        <v>100</v>
      </c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0"/>
      <c r="N93" s="26"/>
      <c r="O93" s="22"/>
      <c r="P93" s="22"/>
    </row>
    <row r="94" customFormat="false" ht="14.25" hidden="false" customHeight="true" outlineLevel="0" collapsed="false">
      <c r="A94" s="1"/>
      <c r="B94" s="201" t="s">
        <v>101</v>
      </c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"/>
      <c r="O94" s="1"/>
      <c r="P94" s="1"/>
    </row>
    <row r="95" customFormat="false" ht="14.25" hidden="false" customHeight="true" outlineLevel="0" collapsed="false">
      <c r="A95" s="1"/>
      <c r="B95" s="202" t="s">
        <v>102</v>
      </c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"/>
      <c r="O95" s="1"/>
      <c r="P95" s="1"/>
    </row>
    <row r="96" customFormat="false" ht="14.25" hidden="false" customHeight="false" outlineLevel="0" collapsed="false">
      <c r="A96" s="1"/>
      <c r="B96" s="200" t="s">
        <v>103</v>
      </c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0"/>
      <c r="N96" s="2"/>
      <c r="O96" s="1"/>
      <c r="P96" s="1"/>
    </row>
    <row r="97" customFormat="false" ht="14.25" hidden="false" customHeight="false" outlineLevel="0" collapsed="false">
      <c r="A97" s="1"/>
      <c r="B97" s="203" t="s">
        <v>104</v>
      </c>
      <c r="C97" s="203"/>
      <c r="D97" s="203"/>
      <c r="E97" s="203"/>
      <c r="F97" s="203"/>
      <c r="G97" s="203"/>
      <c r="H97" s="203"/>
      <c r="I97" s="203"/>
      <c r="J97" s="203"/>
      <c r="K97" s="203"/>
      <c r="L97" s="203"/>
      <c r="M97" s="203"/>
      <c r="N97" s="2"/>
      <c r="O97" s="1"/>
      <c r="P97" s="1"/>
    </row>
    <row r="98" customFormat="false" ht="15" hidden="false" customHeight="true" outlineLevel="0" collapsed="false">
      <c r="A98" s="1"/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0"/>
      <c r="N98" s="2"/>
      <c r="O98" s="1"/>
      <c r="P98" s="1"/>
    </row>
    <row r="99" customFormat="false" ht="15" hidden="false" customHeight="true" outlineLevel="0" collapsed="false">
      <c r="A99" s="1"/>
      <c r="B99" s="204" t="s">
        <v>105</v>
      </c>
      <c r="C99" s="204"/>
      <c r="D99" s="205"/>
      <c r="E99" s="205"/>
      <c r="F99" s="205"/>
      <c r="G99" s="205"/>
      <c r="H99" s="205"/>
      <c r="I99" s="205"/>
      <c r="J99" s="205"/>
      <c r="K99" s="205"/>
      <c r="L99" s="205"/>
      <c r="M99" s="205"/>
      <c r="N99" s="2"/>
      <c r="O99" s="1"/>
      <c r="P99" s="1"/>
    </row>
    <row r="100" customFormat="false" ht="15" hidden="false" customHeight="true" outlineLevel="0" collapsed="false">
      <c r="A100" s="1"/>
      <c r="B100" s="206"/>
      <c r="C100" s="206"/>
      <c r="D100" s="205"/>
      <c r="E100" s="205"/>
      <c r="F100" s="205"/>
      <c r="G100" s="205"/>
      <c r="H100" s="205"/>
      <c r="I100" s="205"/>
      <c r="J100" s="205"/>
      <c r="K100" s="205"/>
      <c r="L100" s="205"/>
      <c r="M100" s="205"/>
      <c r="N100" s="2"/>
      <c r="O100" s="1"/>
      <c r="P100" s="1"/>
    </row>
    <row r="101" customFormat="false" ht="14.25" hidden="false" customHeight="false" outlineLevel="0" collapsed="false">
      <c r="A101" s="1"/>
      <c r="B101" s="207" t="s">
        <v>106</v>
      </c>
      <c r="C101" s="207"/>
      <c r="D101" s="207"/>
      <c r="E101" s="207"/>
      <c r="F101" s="207"/>
      <c r="G101" s="207"/>
      <c r="H101" s="207"/>
      <c r="I101" s="207"/>
      <c r="J101" s="207"/>
      <c r="K101" s="207"/>
      <c r="L101" s="207"/>
      <c r="M101" s="207"/>
      <c r="N101" s="2"/>
      <c r="O101" s="1"/>
      <c r="P101" s="1"/>
    </row>
    <row r="102" customFormat="false" ht="14.25" hidden="false" customHeight="false" outlineLevel="0" collapsed="false">
      <c r="A102" s="1"/>
      <c r="B102" s="208"/>
      <c r="C102" s="208"/>
      <c r="D102" s="208"/>
      <c r="E102" s="208"/>
      <c r="F102" s="208"/>
      <c r="G102" s="208"/>
      <c r="H102" s="208"/>
      <c r="I102" s="208"/>
      <c r="J102" s="208"/>
      <c r="K102" s="208"/>
      <c r="L102" s="208"/>
      <c r="M102" s="208"/>
      <c r="N102" s="2"/>
      <c r="O102" s="1"/>
      <c r="P102" s="1"/>
    </row>
    <row r="103" customFormat="false" ht="14.25" hidden="false" customHeight="false" outlineLevel="0" collapsed="false">
      <c r="A103" s="1"/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  <c r="M103" s="209"/>
      <c r="N103" s="2"/>
      <c r="O103" s="1"/>
      <c r="P103" s="1"/>
    </row>
    <row r="104" customFormat="false" ht="14.25" hidden="false" customHeight="false" outlineLevel="0" collapsed="false">
      <c r="A104" s="1"/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  <c r="M104" s="209"/>
      <c r="N104" s="2"/>
      <c r="O104" s="1"/>
      <c r="P104" s="1"/>
    </row>
    <row r="105" customFormat="false" ht="14.25" hidden="false" customHeight="false" outlineLevel="0" collapsed="false">
      <c r="A105" s="1"/>
      <c r="B105" s="208"/>
      <c r="C105" s="208"/>
      <c r="D105" s="208"/>
      <c r="E105" s="208"/>
      <c r="F105" s="208"/>
      <c r="G105" s="208"/>
      <c r="H105" s="208"/>
      <c r="I105" s="208"/>
      <c r="J105" s="208"/>
      <c r="K105" s="208"/>
      <c r="L105" s="208"/>
      <c r="M105" s="208"/>
      <c r="N105" s="2"/>
      <c r="O105" s="1"/>
      <c r="P105" s="1"/>
    </row>
    <row r="106" customFormat="false" ht="15" hidden="false" customHeight="true" outlineLevel="0" collapsed="false">
      <c r="A106" s="1"/>
      <c r="B106" s="210"/>
      <c r="C106" s="210"/>
      <c r="D106" s="210"/>
      <c r="E106" s="210"/>
      <c r="F106" s="210"/>
      <c r="G106" s="210"/>
      <c r="H106" s="210"/>
      <c r="I106" s="210"/>
      <c r="J106" s="210"/>
      <c r="K106" s="210"/>
      <c r="L106" s="210"/>
      <c r="M106" s="210"/>
      <c r="N106" s="2"/>
      <c r="O106" s="1"/>
      <c r="P106" s="1"/>
    </row>
  </sheetData>
  <mergeCells count="120">
    <mergeCell ref="B2:M2"/>
    <mergeCell ref="B3:D5"/>
    <mergeCell ref="B7:M7"/>
    <mergeCell ref="B8:D8"/>
    <mergeCell ref="E8:G8"/>
    <mergeCell ref="H8:J8"/>
    <mergeCell ref="K8:M8"/>
    <mergeCell ref="B9:D9"/>
    <mergeCell ref="B10:D10"/>
    <mergeCell ref="B11:D11"/>
    <mergeCell ref="B12:D12"/>
    <mergeCell ref="B13:D13"/>
    <mergeCell ref="E13:G13"/>
    <mergeCell ref="H13:J13"/>
    <mergeCell ref="K13:M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C27"/>
    <mergeCell ref="K27:M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B40"/>
    <mergeCell ref="C37:D37"/>
    <mergeCell ref="C38:D38"/>
    <mergeCell ref="C39:D39"/>
    <mergeCell ref="C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B56"/>
    <mergeCell ref="C52:D52"/>
    <mergeCell ref="C53:D53"/>
    <mergeCell ref="C54:D54"/>
    <mergeCell ref="C55:D55"/>
    <mergeCell ref="C56:D56"/>
    <mergeCell ref="B58:D58"/>
    <mergeCell ref="E58:G58"/>
    <mergeCell ref="H58:J58"/>
    <mergeCell ref="K58:M58"/>
    <mergeCell ref="B59:D59"/>
    <mergeCell ref="B60:D60"/>
    <mergeCell ref="B61:D61"/>
    <mergeCell ref="B62:D62"/>
    <mergeCell ref="B63:D63"/>
    <mergeCell ref="B64:D64"/>
    <mergeCell ref="B65:D65"/>
    <mergeCell ref="B67:D67"/>
    <mergeCell ref="E67:G67"/>
    <mergeCell ref="H67:J67"/>
    <mergeCell ref="K67:M67"/>
    <mergeCell ref="B68:D68"/>
    <mergeCell ref="B69:D69"/>
    <mergeCell ref="B70:D70"/>
    <mergeCell ref="B71:D71"/>
    <mergeCell ref="K71:M73"/>
    <mergeCell ref="B72:D72"/>
    <mergeCell ref="B73:D73"/>
    <mergeCell ref="B74:M75"/>
    <mergeCell ref="N74:N75"/>
    <mergeCell ref="B76:D76"/>
    <mergeCell ref="E76:G76"/>
    <mergeCell ref="H76:J76"/>
    <mergeCell ref="K76:M76"/>
    <mergeCell ref="B77:B81"/>
    <mergeCell ref="C77:D77"/>
    <mergeCell ref="K77:M81"/>
    <mergeCell ref="C78:D78"/>
    <mergeCell ref="C79:D79"/>
    <mergeCell ref="C80:D80"/>
    <mergeCell ref="C81:D81"/>
    <mergeCell ref="B82:B90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B91:D91"/>
    <mergeCell ref="B93:M93"/>
    <mergeCell ref="B94:M94"/>
    <mergeCell ref="B95:M95"/>
    <mergeCell ref="B96:M96"/>
    <mergeCell ref="B97:M97"/>
    <mergeCell ref="B98:M98"/>
    <mergeCell ref="B99:C99"/>
    <mergeCell ref="B101:M101"/>
    <mergeCell ref="B102:M102"/>
    <mergeCell ref="B103:M103"/>
    <mergeCell ref="B104:M104"/>
    <mergeCell ref="B105:M105"/>
    <mergeCell ref="B106:M106"/>
  </mergeCells>
  <printOptions headings="false" gridLines="false" gridLinesSet="true" horizontalCentered="false" verticalCentered="false"/>
  <pageMargins left="0.7" right="0.7" top="0.75" bottom="0.75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  Confidential - Internal Information#</oddHeader>
    <oddFooter>&amp;C&amp;10 _x005F_x000a_# Confidential - Internal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30"/>
  </cols>
  <sheetData>
    <row r="1" customFormat="false" ht="31.5" hidden="false" customHeight="true" outlineLevel="0" collapsed="false">
      <c r="B1" s="211" t="s">
        <v>107</v>
      </c>
      <c r="C1" s="211"/>
      <c r="D1" s="211"/>
      <c r="E1" s="211"/>
      <c r="F1" s="211"/>
      <c r="G1" s="211"/>
    </row>
    <row r="2" customFormat="false" ht="19.5" hidden="false" customHeight="true" outlineLevel="0" collapsed="false">
      <c r="B2" s="212" t="s">
        <v>108</v>
      </c>
      <c r="C2" s="212"/>
      <c r="D2" s="212"/>
      <c r="E2" s="212"/>
      <c r="F2" s="212"/>
      <c r="G2" s="212"/>
    </row>
    <row r="3" customFormat="false" ht="19.5" hidden="false" customHeight="true" outlineLevel="0" collapsed="false"/>
    <row r="4" customFormat="false" ht="30" hidden="false" customHeight="true" outlineLevel="0" collapsed="false">
      <c r="B4" s="213" t="s">
        <v>109</v>
      </c>
      <c r="C4" s="214" t="s">
        <v>110</v>
      </c>
      <c r="D4" s="214" t="s">
        <v>111</v>
      </c>
      <c r="E4" s="213" t="s">
        <v>112</v>
      </c>
      <c r="F4" s="213" t="s">
        <v>113</v>
      </c>
      <c r="G4" s="213" t="s">
        <v>114</v>
      </c>
    </row>
    <row r="5" customFormat="false" ht="19.5" hidden="false" customHeight="true" outlineLevel="0" collapsed="false">
      <c r="B5" s="215" t="s">
        <v>115</v>
      </c>
      <c r="C5" s="215"/>
      <c r="D5" s="215"/>
      <c r="E5" s="215"/>
      <c r="F5" s="215"/>
      <c r="G5" s="215"/>
    </row>
    <row r="6" customFormat="false" ht="19.5" hidden="false" customHeight="true" outlineLevel="0" collapsed="false">
      <c r="B6" s="216" t="s">
        <v>116</v>
      </c>
      <c r="C6" s="217"/>
      <c r="D6" s="218" t="n">
        <f aca="false">'Reporting Template'!E51</f>
        <v>0</v>
      </c>
      <c r="E6" s="218" t="str">
        <f aca="false">IF(C6="","",C6-D6)</f>
        <v/>
      </c>
      <c r="F6" s="219" t="str">
        <f aca="false">IF(C6="","—",IF(ABS(C6-D6)&lt;1,"✓ OK","✗ FAIL"))</f>
        <v>—</v>
      </c>
      <c r="G6" s="216" t="s">
        <v>117</v>
      </c>
    </row>
    <row r="7" customFormat="false" ht="19.5" hidden="false" customHeight="true" outlineLevel="0" collapsed="false">
      <c r="B7" s="216" t="s">
        <v>118</v>
      </c>
      <c r="C7" s="217"/>
      <c r="D7" s="218" t="n">
        <f aca="false">'Reporting Template'!F51</f>
        <v>0</v>
      </c>
      <c r="E7" s="218" t="str">
        <f aca="false">IF(C7="","",C7-D7)</f>
        <v/>
      </c>
      <c r="F7" s="219" t="str">
        <f aca="false">IF(C7="","—",IF(ABS(C7-D7)&lt;1,"✓ OK","✗ FAIL"))</f>
        <v>—</v>
      </c>
      <c r="G7" s="216" t="s">
        <v>119</v>
      </c>
    </row>
    <row r="8" customFormat="false" ht="19.5" hidden="false" customHeight="true" outlineLevel="0" collapsed="false">
      <c r="B8" s="216" t="s">
        <v>120</v>
      </c>
      <c r="C8" s="217"/>
      <c r="D8" s="218" t="n">
        <f aca="false">'Reporting Template'!G51</f>
        <v>0</v>
      </c>
      <c r="E8" s="218" t="str">
        <f aca="false">IF(C8="","",C8-D8)</f>
        <v/>
      </c>
      <c r="F8" s="219" t="str">
        <f aca="false">IF(C8="","—",IF(ABS(C8-D8)&lt;1,"✓ OK","✗ FAIL"))</f>
        <v>—</v>
      </c>
      <c r="G8" s="216" t="s">
        <v>121</v>
      </c>
    </row>
    <row r="9" customFormat="false" ht="19.5" hidden="false" customHeight="true" outlineLevel="0" collapsed="false">
      <c r="B9" s="216" t="s">
        <v>122</v>
      </c>
      <c r="C9" s="217"/>
      <c r="D9" s="218" t="n">
        <f aca="false">'Reporting Template'!E56</f>
        <v>0</v>
      </c>
      <c r="E9" s="218" t="str">
        <f aca="false">IF(C9="","",C9-D9)</f>
        <v/>
      </c>
      <c r="F9" s="219" t="str">
        <f aca="false">IF(C9="","—",IF(ABS(C9-D9)&lt;1,"✓ OK","✗ FAIL"))</f>
        <v>—</v>
      </c>
      <c r="G9" s="216" t="s">
        <v>123</v>
      </c>
    </row>
    <row r="10" customFormat="false" ht="19.5" hidden="false" customHeight="true" outlineLevel="0" collapsed="false">
      <c r="B10" s="216" t="s">
        <v>124</v>
      </c>
      <c r="C10" s="217"/>
      <c r="D10" s="218" t="n">
        <f aca="false">'Reporting Template'!E55</f>
        <v>0</v>
      </c>
      <c r="E10" s="218" t="str">
        <f aca="false">IF(C10="","",C10-D10)</f>
        <v/>
      </c>
      <c r="F10" s="219" t="str">
        <f aca="false">IF(C10="","—",IF(ABS(C10-D10)&lt;1,"✓ OK","✗ FAIL"))</f>
        <v>—</v>
      </c>
      <c r="G10" s="216" t="s">
        <v>125</v>
      </c>
    </row>
    <row r="11" customFormat="false" ht="19.5" hidden="false" customHeight="true" outlineLevel="0" collapsed="false">
      <c r="B11" s="216" t="s">
        <v>126</v>
      </c>
      <c r="C11" s="217"/>
      <c r="D11" s="218" t="n">
        <f aca="false">'Reporting Template'!E47</f>
        <v>0</v>
      </c>
      <c r="E11" s="218" t="str">
        <f aca="false">IF(C11="","",C11-D11)</f>
        <v/>
      </c>
      <c r="F11" s="219" t="str">
        <f aca="false">IF(C11="","—",IF(ABS(C11-D11)&lt;1,"✓ OK","✗ FAIL"))</f>
        <v>—</v>
      </c>
      <c r="G11" s="216" t="s">
        <v>127</v>
      </c>
    </row>
    <row r="12" customFormat="false" ht="19.5" hidden="false" customHeight="true" outlineLevel="0" collapsed="false">
      <c r="B12" s="216" t="s">
        <v>128</v>
      </c>
      <c r="C12" s="217"/>
      <c r="D12" s="218" t="n">
        <f aca="false">'Reporting Template'!E41</f>
        <v>0</v>
      </c>
      <c r="E12" s="218" t="str">
        <f aca="false">IF(C12="","",C12-D12)</f>
        <v/>
      </c>
      <c r="F12" s="219" t="str">
        <f aca="false">IF(C12="","—",IF(ABS(C12-D12)&lt;1,"✓ OK","✗ FAIL"))</f>
        <v>—</v>
      </c>
      <c r="G12" s="216" t="s">
        <v>129</v>
      </c>
    </row>
    <row r="13" customFormat="false" ht="19.5" hidden="false" customHeight="true" outlineLevel="0" collapsed="false">
      <c r="B13" s="216" t="s">
        <v>130</v>
      </c>
      <c r="C13" s="217"/>
      <c r="D13" s="218" t="n">
        <f aca="false">'Reporting Template'!E16</f>
        <v>0</v>
      </c>
      <c r="E13" s="218" t="str">
        <f aca="false">IF(C13="","",C13-D13)</f>
        <v/>
      </c>
      <c r="F13" s="219" t="str">
        <f aca="false">IF(C13="","—",IF(ABS(C13-D13)&lt;1,"✓ OK","✗ FAIL"))</f>
        <v>—</v>
      </c>
      <c r="G13" s="216" t="s">
        <v>131</v>
      </c>
    </row>
    <row r="14" customFormat="false" ht="19.5" hidden="false" customHeight="true" outlineLevel="0" collapsed="false"/>
    <row r="15" customFormat="false" ht="19.5" hidden="false" customHeight="true" outlineLevel="0" collapsed="false">
      <c r="B15" s="220" t="s">
        <v>132</v>
      </c>
      <c r="C15" s="220"/>
      <c r="D15" s="220"/>
      <c r="E15" s="220"/>
      <c r="F15" s="220"/>
      <c r="G15" s="220"/>
    </row>
    <row r="16" customFormat="false" ht="19.5" hidden="false" customHeight="true" outlineLevel="0" collapsed="false">
      <c r="B16" s="216" t="s">
        <v>133</v>
      </c>
      <c r="C16" s="217"/>
      <c r="D16" s="218" t="n">
        <f aca="false">'Reporting Template'!E38</f>
        <v>0</v>
      </c>
      <c r="E16" s="218" t="str">
        <f aca="false">IF(C16="","",C16-D16)</f>
        <v/>
      </c>
      <c r="F16" s="219" t="str">
        <f aca="false">IF(C16="","—",IF(ABS(C16-D16)&lt;1,"✓ OK","✗ FAIL"))</f>
        <v>—</v>
      </c>
      <c r="G16" s="216" t="s">
        <v>134</v>
      </c>
    </row>
    <row r="17" customFormat="false" ht="19.5" hidden="false" customHeight="true" outlineLevel="0" collapsed="false">
      <c r="B17" s="216" t="s">
        <v>135</v>
      </c>
      <c r="C17" s="217"/>
      <c r="D17" s="218" t="n">
        <f aca="false">'Reporting Template'!E40</f>
        <v>0</v>
      </c>
      <c r="E17" s="218" t="str">
        <f aca="false">IF(C17="","",C17-D17)</f>
        <v/>
      </c>
      <c r="F17" s="219" t="str">
        <f aca="false">IF(C17="","—",IF(ABS(C17-D17)&lt;1,"✓ OK","✗ FAIL"))</f>
        <v>—</v>
      </c>
      <c r="G17" s="216" t="s">
        <v>136</v>
      </c>
    </row>
    <row r="18" customFormat="false" ht="19.5" hidden="false" customHeight="true" outlineLevel="0" collapsed="false">
      <c r="B18" s="216" t="s">
        <v>137</v>
      </c>
      <c r="C18" s="217"/>
      <c r="D18" s="218" t="n">
        <f aca="false">'Reporting Template'!E32</f>
        <v>0</v>
      </c>
      <c r="E18" s="218" t="str">
        <f aca="false">IF(C18="","",C18-D18)</f>
        <v/>
      </c>
      <c r="F18" s="219" t="str">
        <f aca="false">IF(C18="","—",IF(ABS(C18-D18)&lt;1,"✓ OK","✗ FAIL"))</f>
        <v>—</v>
      </c>
      <c r="G18" s="216" t="s">
        <v>138</v>
      </c>
    </row>
    <row r="19" customFormat="false" ht="19.5" hidden="false" customHeight="true" outlineLevel="0" collapsed="false">
      <c r="B19" s="216" t="s">
        <v>139</v>
      </c>
      <c r="C19" s="217"/>
      <c r="D19" s="218" t="n">
        <f aca="false">'Reporting Template'!E30</f>
        <v>0</v>
      </c>
      <c r="E19" s="218" t="str">
        <f aca="false">IF(C19="","",C19-D19)</f>
        <v/>
      </c>
      <c r="F19" s="219" t="str">
        <f aca="false">IF(C19="","—",IF(ABS(C19-D19)&lt;1,"✓ OK","✗ FAIL"))</f>
        <v>—</v>
      </c>
      <c r="G19" s="216" t="s">
        <v>140</v>
      </c>
    </row>
    <row r="20" customFormat="false" ht="19.5" hidden="false" customHeight="true" outlineLevel="0" collapsed="false"/>
    <row r="21" customFormat="false" ht="19.5" hidden="false" customHeight="true" outlineLevel="0" collapsed="false">
      <c r="B21" s="221" t="s">
        <v>141</v>
      </c>
      <c r="C21" s="221"/>
      <c r="D21" s="221"/>
      <c r="E21" s="221"/>
      <c r="F21" s="221"/>
      <c r="G21" s="221"/>
    </row>
    <row r="22" customFormat="false" ht="19.5" hidden="false" customHeight="true" outlineLevel="0" collapsed="false">
      <c r="B22" s="216" t="s">
        <v>142</v>
      </c>
      <c r="C22" s="217"/>
      <c r="D22" s="218" t="n">
        <f aca="false">'Reporting Template'!E65</f>
        <v>0</v>
      </c>
      <c r="E22" s="218" t="str">
        <f aca="false">IF(C22="","",C22-D22)</f>
        <v/>
      </c>
      <c r="F22" s="219" t="str">
        <f aca="false">IF(C22="","—",IF(ABS(C22-D22)&lt;1,"✓ OK","✗ FAIL"))</f>
        <v>—</v>
      </c>
      <c r="G22" s="216" t="s">
        <v>143</v>
      </c>
    </row>
    <row r="23" customFormat="false" ht="19.5" hidden="false" customHeight="true" outlineLevel="0" collapsed="false">
      <c r="B23" s="216" t="s">
        <v>144</v>
      </c>
      <c r="C23" s="217"/>
      <c r="D23" s="218" t="n">
        <f aca="false">'Reporting Template'!G65</f>
        <v>0</v>
      </c>
      <c r="E23" s="218" t="str">
        <f aca="false">IF(C23="","",C23-D23)</f>
        <v/>
      </c>
      <c r="F23" s="219" t="str">
        <f aca="false">IF(C23="","—",IF(ABS(C23-D23)&lt;1,"✓ OK","✗ FAIL"))</f>
        <v>—</v>
      </c>
      <c r="G23" s="216" t="s">
        <v>145</v>
      </c>
    </row>
    <row r="24" customFormat="false" ht="19.5" hidden="false" customHeight="true" outlineLevel="0" collapsed="false">
      <c r="B24" s="216" t="s">
        <v>66</v>
      </c>
      <c r="C24" s="217"/>
      <c r="D24" s="218" t="n">
        <f aca="false">'Reporting Template'!E59</f>
        <v>0</v>
      </c>
      <c r="E24" s="218" t="str">
        <f aca="false">IF(C24="","",C24-D24)</f>
        <v/>
      </c>
      <c r="F24" s="219" t="str">
        <f aca="false">IF(C24="","—",IF(ABS(C24-D24)&lt;1,"✓ OK","✗ FAIL"))</f>
        <v>—</v>
      </c>
      <c r="G24" s="216" t="s">
        <v>146</v>
      </c>
    </row>
    <row r="25" customFormat="false" ht="19.5" hidden="false" customHeight="true" outlineLevel="0" collapsed="false"/>
    <row r="26" customFormat="false" ht="19.5" hidden="false" customHeight="true" outlineLevel="0" collapsed="false">
      <c r="B26" s="222" t="s">
        <v>147</v>
      </c>
      <c r="C26" s="222"/>
      <c r="D26" s="222"/>
      <c r="E26" s="222"/>
      <c r="F26" s="222"/>
      <c r="G26" s="222"/>
    </row>
    <row r="27" customFormat="false" ht="19.5" hidden="false" customHeight="true" outlineLevel="0" collapsed="false">
      <c r="B27" s="216" t="s">
        <v>148</v>
      </c>
      <c r="C27" s="217"/>
      <c r="D27" s="218" t="n">
        <f aca="false">'Reporting Template'!E9</f>
        <v>0</v>
      </c>
      <c r="E27" s="218" t="str">
        <f aca="false">IF(C27="","",C27-D27)</f>
        <v/>
      </c>
      <c r="F27" s="219" t="str">
        <f aca="false">IF(C27="","—",IF(ABS(C27-D27)&lt;1,"✓ OK","✗ FAIL"))</f>
        <v>—</v>
      </c>
      <c r="G27" s="216" t="s">
        <v>149</v>
      </c>
    </row>
    <row r="28" customFormat="false" ht="19.5" hidden="false" customHeight="true" outlineLevel="0" collapsed="false">
      <c r="B28" s="216" t="s">
        <v>150</v>
      </c>
      <c r="C28" s="217"/>
      <c r="D28" s="218" t="n">
        <f aca="false">'Reporting Template'!F14</f>
        <v>0</v>
      </c>
      <c r="E28" s="218" t="str">
        <f aca="false">IF(C28="","",C28-D28)</f>
        <v/>
      </c>
      <c r="F28" s="219" t="str">
        <f aca="false">IF(C28="","—",IF(ABS(C28-D28)&lt;1,"✓ OK","✗ FAIL"))</f>
        <v>—</v>
      </c>
      <c r="G28" s="216" t="s">
        <v>151</v>
      </c>
    </row>
    <row r="29" customFormat="false" ht="19.5" hidden="false" customHeight="true" outlineLevel="0" collapsed="false">
      <c r="B29" s="216" t="s">
        <v>152</v>
      </c>
      <c r="C29" s="217"/>
      <c r="D29" s="218" t="n">
        <f aca="false">'Reporting Template'!E10</f>
        <v>0</v>
      </c>
      <c r="E29" s="218" t="str">
        <f aca="false">IF(C29="","",C29-D29)</f>
        <v/>
      </c>
      <c r="F29" s="219" t="str">
        <f aca="false">IF(C29="","—",IF(ABS(C29-D29)&lt;1,"✓ OK","✗ FAIL"))</f>
        <v>—</v>
      </c>
      <c r="G29" s="216" t="s">
        <v>153</v>
      </c>
    </row>
    <row r="30" customFormat="false" ht="19.5" hidden="false" customHeight="true" outlineLevel="0" collapsed="false"/>
    <row r="31" customFormat="false" ht="19.5" hidden="false" customHeight="true" outlineLevel="0" collapsed="false">
      <c r="B31" s="223" t="s">
        <v>154</v>
      </c>
      <c r="C31" s="223"/>
      <c r="D31" s="223"/>
      <c r="E31" s="223"/>
      <c r="F31" s="223"/>
      <c r="G31" s="223"/>
    </row>
    <row r="32" customFormat="false" ht="19.5" hidden="false" customHeight="true" outlineLevel="0" collapsed="false">
      <c r="B32" s="216" t="s">
        <v>155</v>
      </c>
      <c r="C32" s="224" t="s">
        <v>156</v>
      </c>
      <c r="G32" s="216" t="s">
        <v>157</v>
      </c>
    </row>
    <row r="33" customFormat="false" ht="19.5" hidden="false" customHeight="true" outlineLevel="0" collapsed="false">
      <c r="B33" s="216" t="s">
        <v>158</v>
      </c>
      <c r="C33" s="225" t="s">
        <v>159</v>
      </c>
      <c r="G33" s="216" t="s">
        <v>160</v>
      </c>
    </row>
    <row r="34" customFormat="false" ht="19.5" hidden="false" customHeight="true" outlineLevel="0" collapsed="false">
      <c r="B34" s="216" t="s">
        <v>161</v>
      </c>
      <c r="C34" s="225" t="s">
        <v>159</v>
      </c>
      <c r="G34" s="216" t="s">
        <v>162</v>
      </c>
    </row>
    <row r="35" customFormat="false" ht="19.5" hidden="false" customHeight="true" outlineLevel="0" collapsed="false">
      <c r="B35" s="216" t="s">
        <v>163</v>
      </c>
      <c r="C35" s="226" t="s">
        <v>164</v>
      </c>
      <c r="G35" s="216" t="s">
        <v>165</v>
      </c>
    </row>
    <row r="36" customFormat="false" ht="19.5" hidden="false" customHeight="true" outlineLevel="0" collapsed="false">
      <c r="B36" s="216" t="s">
        <v>166</v>
      </c>
      <c r="C36" s="226" t="s">
        <v>167</v>
      </c>
      <c r="G36" s="216" t="s">
        <v>168</v>
      </c>
    </row>
    <row r="37" customFormat="false" ht="19.5" hidden="false" customHeight="true" outlineLevel="0" collapsed="false">
      <c r="B37" s="216" t="s">
        <v>169</v>
      </c>
      <c r="C37" s="225" t="s">
        <v>159</v>
      </c>
      <c r="G37" s="216" t="s">
        <v>170</v>
      </c>
    </row>
    <row r="38" customFormat="false" ht="19.5" hidden="false" customHeight="true" outlineLevel="0" collapsed="false">
      <c r="B38" s="216" t="s">
        <v>171</v>
      </c>
      <c r="C38" s="224" t="s">
        <v>156</v>
      </c>
      <c r="G38" s="216" t="s">
        <v>172</v>
      </c>
    </row>
    <row r="39" customFormat="false" ht="19.5" hidden="false" customHeight="true" outlineLevel="0" collapsed="false">
      <c r="B39" s="216" t="s">
        <v>173</v>
      </c>
      <c r="C39" s="224" t="s">
        <v>156</v>
      </c>
      <c r="G39" s="216" t="s">
        <v>174</v>
      </c>
    </row>
    <row r="40" customFormat="false" ht="19.5" hidden="false" customHeight="true" outlineLevel="0" collapsed="false">
      <c r="B40" s="216" t="s">
        <v>175</v>
      </c>
      <c r="C40" s="225" t="s">
        <v>159</v>
      </c>
      <c r="G40" s="216" t="s">
        <v>176</v>
      </c>
    </row>
    <row r="41" customFormat="false" ht="19.5" hidden="false" customHeight="true" outlineLevel="0" collapsed="false">
      <c r="B41" s="216" t="s">
        <v>177</v>
      </c>
      <c r="C41" s="226" t="s">
        <v>178</v>
      </c>
      <c r="G41" s="216" t="s">
        <v>179</v>
      </c>
    </row>
    <row r="42" customFormat="false" ht="19.5" hidden="false" customHeight="true" outlineLevel="0" collapsed="false"/>
    <row r="43" customFormat="false" ht="24" hidden="false" customHeight="true" outlineLevel="0" collapsed="false">
      <c r="B43" s="227" t="s">
        <v>180</v>
      </c>
      <c r="C43" s="227"/>
      <c r="D43" s="227"/>
      <c r="E43" s="227"/>
      <c r="F43" s="227"/>
      <c r="G43" s="227"/>
    </row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</sheetData>
  <mergeCells count="8">
    <mergeCell ref="B1:G1"/>
    <mergeCell ref="B2:G2"/>
    <mergeCell ref="B5:G5"/>
    <mergeCell ref="B15:G15"/>
    <mergeCell ref="B21:G21"/>
    <mergeCell ref="B26:G26"/>
    <mergeCell ref="B31:G31"/>
    <mergeCell ref="B43:G43"/>
  </mergeCells>
  <conditionalFormatting sqref="F6">
    <cfRule type="expression" priority="2" aboveAverage="0" equalAverage="0" bottom="0" percent="0" rank="0" text="" dxfId="0">
      <formula>F6="✓ OK"</formula>
    </cfRule>
    <cfRule type="expression" priority="3" aboveAverage="0" equalAverage="0" bottom="0" percent="0" rank="0" text="" dxfId="1">
      <formula>F6="✗ FAIL"</formula>
    </cfRule>
  </conditionalFormatting>
  <conditionalFormatting sqref="F7">
    <cfRule type="expression" priority="4" aboveAverage="0" equalAverage="0" bottom="0" percent="0" rank="0" text="" dxfId="0">
      <formula>F7="✓ OK"</formula>
    </cfRule>
    <cfRule type="expression" priority="5" aboveAverage="0" equalAverage="0" bottom="0" percent="0" rank="0" text="" dxfId="1">
      <formula>F7="✗ FAIL"</formula>
    </cfRule>
  </conditionalFormatting>
  <conditionalFormatting sqref="F8">
    <cfRule type="expression" priority="6" aboveAverage="0" equalAverage="0" bottom="0" percent="0" rank="0" text="" dxfId="0">
      <formula>F8="✓ OK"</formula>
    </cfRule>
    <cfRule type="expression" priority="7" aboveAverage="0" equalAverage="0" bottom="0" percent="0" rank="0" text="" dxfId="1">
      <formula>F8="✗ FAIL"</formula>
    </cfRule>
  </conditionalFormatting>
  <conditionalFormatting sqref="F9">
    <cfRule type="expression" priority="8" aboveAverage="0" equalAverage="0" bottom="0" percent="0" rank="0" text="" dxfId="0">
      <formula>F9="✓ OK"</formula>
    </cfRule>
    <cfRule type="expression" priority="9" aboveAverage="0" equalAverage="0" bottom="0" percent="0" rank="0" text="" dxfId="1">
      <formula>F9="✗ FAIL"</formula>
    </cfRule>
  </conditionalFormatting>
  <conditionalFormatting sqref="F10">
    <cfRule type="expression" priority="10" aboveAverage="0" equalAverage="0" bottom="0" percent="0" rank="0" text="" dxfId="0">
      <formula>F10="✓ OK"</formula>
    </cfRule>
    <cfRule type="expression" priority="11" aboveAverage="0" equalAverage="0" bottom="0" percent="0" rank="0" text="" dxfId="1">
      <formula>F10="✗ FAIL"</formula>
    </cfRule>
  </conditionalFormatting>
  <conditionalFormatting sqref="F11">
    <cfRule type="expression" priority="12" aboveAverage="0" equalAverage="0" bottom="0" percent="0" rank="0" text="" dxfId="0">
      <formula>F11="✓ OK"</formula>
    </cfRule>
    <cfRule type="expression" priority="13" aboveAverage="0" equalAverage="0" bottom="0" percent="0" rank="0" text="" dxfId="1">
      <formula>F11="✗ FAIL"</formula>
    </cfRule>
  </conditionalFormatting>
  <conditionalFormatting sqref="F12">
    <cfRule type="expression" priority="14" aboveAverage="0" equalAverage="0" bottom="0" percent="0" rank="0" text="" dxfId="0">
      <formula>F12="✓ OK"</formula>
    </cfRule>
    <cfRule type="expression" priority="15" aboveAverage="0" equalAverage="0" bottom="0" percent="0" rank="0" text="" dxfId="1">
      <formula>F12="✗ FAIL"</formula>
    </cfRule>
  </conditionalFormatting>
  <conditionalFormatting sqref="F13">
    <cfRule type="expression" priority="16" aboveAverage="0" equalAverage="0" bottom="0" percent="0" rank="0" text="" dxfId="0">
      <formula>F13="✓ OK"</formula>
    </cfRule>
    <cfRule type="expression" priority="17" aboveAverage="0" equalAverage="0" bottom="0" percent="0" rank="0" text="" dxfId="1">
      <formula>F13="✗ FAIL"</formula>
    </cfRule>
  </conditionalFormatting>
  <conditionalFormatting sqref="F16">
    <cfRule type="expression" priority="18" aboveAverage="0" equalAverage="0" bottom="0" percent="0" rank="0" text="" dxfId="0">
      <formula>F16="✓ OK"</formula>
    </cfRule>
    <cfRule type="expression" priority="19" aboveAverage="0" equalAverage="0" bottom="0" percent="0" rank="0" text="" dxfId="1">
      <formula>F16="✗ FAIL"</formula>
    </cfRule>
  </conditionalFormatting>
  <conditionalFormatting sqref="F17">
    <cfRule type="expression" priority="20" aboveAverage="0" equalAverage="0" bottom="0" percent="0" rank="0" text="" dxfId="0">
      <formula>F17="✓ OK"</formula>
    </cfRule>
    <cfRule type="expression" priority="21" aboveAverage="0" equalAverage="0" bottom="0" percent="0" rank="0" text="" dxfId="1">
      <formula>F17="✗ FAIL"</formula>
    </cfRule>
  </conditionalFormatting>
  <conditionalFormatting sqref="F18">
    <cfRule type="expression" priority="22" aboveAverage="0" equalAverage="0" bottom="0" percent="0" rank="0" text="" dxfId="0">
      <formula>F18="✓ OK"</formula>
    </cfRule>
    <cfRule type="expression" priority="23" aboveAverage="0" equalAverage="0" bottom="0" percent="0" rank="0" text="" dxfId="1">
      <formula>F18="✗ FAIL"</formula>
    </cfRule>
  </conditionalFormatting>
  <conditionalFormatting sqref="F19">
    <cfRule type="expression" priority="24" aboveAverage="0" equalAverage="0" bottom="0" percent="0" rank="0" text="" dxfId="0">
      <formula>F19="✓ OK"</formula>
    </cfRule>
    <cfRule type="expression" priority="25" aboveAverage="0" equalAverage="0" bottom="0" percent="0" rank="0" text="" dxfId="1">
      <formula>F19="✗ FAIL"</formula>
    </cfRule>
  </conditionalFormatting>
  <conditionalFormatting sqref="F22">
    <cfRule type="expression" priority="26" aboveAverage="0" equalAverage="0" bottom="0" percent="0" rank="0" text="" dxfId="0">
      <formula>F22="✓ OK"</formula>
    </cfRule>
    <cfRule type="expression" priority="27" aboveAverage="0" equalAverage="0" bottom="0" percent="0" rank="0" text="" dxfId="1">
      <formula>F22="✗ FAIL"</formula>
    </cfRule>
  </conditionalFormatting>
  <conditionalFormatting sqref="F23">
    <cfRule type="expression" priority="28" aboveAverage="0" equalAverage="0" bottom="0" percent="0" rank="0" text="" dxfId="0">
      <formula>F23="✓ OK"</formula>
    </cfRule>
    <cfRule type="expression" priority="29" aboveAverage="0" equalAverage="0" bottom="0" percent="0" rank="0" text="" dxfId="1">
      <formula>F23="✗ FAIL"</formula>
    </cfRule>
  </conditionalFormatting>
  <conditionalFormatting sqref="F24">
    <cfRule type="expression" priority="30" aboveAverage="0" equalAverage="0" bottom="0" percent="0" rank="0" text="" dxfId="0">
      <formula>F24="✓ OK"</formula>
    </cfRule>
    <cfRule type="expression" priority="31" aboveAverage="0" equalAverage="0" bottom="0" percent="0" rank="0" text="" dxfId="1">
      <formula>F24="✗ FAIL"</formula>
    </cfRule>
  </conditionalFormatting>
  <conditionalFormatting sqref="F27">
    <cfRule type="expression" priority="32" aboveAverage="0" equalAverage="0" bottom="0" percent="0" rank="0" text="" dxfId="0">
      <formula>F27="✓ OK"</formula>
    </cfRule>
    <cfRule type="expression" priority="33" aboveAverage="0" equalAverage="0" bottom="0" percent="0" rank="0" text="" dxfId="1">
      <formula>F27="✗ FAIL"</formula>
    </cfRule>
  </conditionalFormatting>
  <conditionalFormatting sqref="F28">
    <cfRule type="expression" priority="34" aboveAverage="0" equalAverage="0" bottom="0" percent="0" rank="0" text="" dxfId="0">
      <formula>F28="✓ OK"</formula>
    </cfRule>
    <cfRule type="expression" priority="35" aboveAverage="0" equalAverage="0" bottom="0" percent="0" rank="0" text="" dxfId="1">
      <formula>F28="✗ FAIL"</formula>
    </cfRule>
  </conditionalFormatting>
  <conditionalFormatting sqref="F29">
    <cfRule type="expression" priority="36" aboveAverage="0" equalAverage="0" bottom="0" percent="0" rank="0" text="" dxfId="0">
      <formula>F29="✓ OK"</formula>
    </cfRule>
    <cfRule type="expression" priority="37" aboveAverage="0" equalAverage="0" bottom="0" percent="0" rank="0" text="" dxfId="1">
      <formula>F29="✗ 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Rafaela Spyrou</dc:creator>
  <dc:description/>
  <dc:language>en-US</dc:language>
  <cp:lastModifiedBy>hp</cp:lastModifiedBy>
  <dcterms:modified xsi:type="dcterms:W3CDTF">2026-05-08T10:51:06Z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0x01010078E665250244CB41B9B8D899BDA5A648</vt:lpwstr>
  </property>
  <property fmtid="{D5CDD505-2E9C-101B-9397-08002B2CF9AE}" pid="3" name="HyperlinksChanged">
    <vt:bool>0</vt:bool>
  </property>
  <property fmtid="{D5CDD505-2E9C-101B-9397-08002B2CF9AE}" pid="4" name="ICV">
    <vt:lpwstr>E594F9CAEF264E1B9CBC785A3A150C74_12</vt:lpwstr>
  </property>
  <property fmtid="{D5CDD505-2E9C-101B-9397-08002B2CF9AE}" pid="5" name="KSOProductBuildVer">
    <vt:lpwstr>2057-12.2.0.23202</vt:lpwstr>
  </property>
  <property fmtid="{D5CDD505-2E9C-101B-9397-08002B2CF9AE}" pid="6" name="LinksUpToDate">
    <vt:bool>0</vt:bool>
  </property>
  <property fmtid="{D5CDD505-2E9C-101B-9397-08002B2CF9AE}" pid="7" name="MSIP_Label_f7f97eba-7ea7-41d2-a730-578d3af7300c_ActionId">
    <vt:lpwstr>5b0c13ce-7400-43a4-b776-e5763b7b3154</vt:lpwstr>
  </property>
  <property fmtid="{D5CDD505-2E9C-101B-9397-08002B2CF9AE}" pid="8" name="MSIP_Label_f7f97eba-7ea7-41d2-a730-578d3af7300c_ContentBits">
    <vt:lpwstr>3</vt:lpwstr>
  </property>
  <property fmtid="{D5CDD505-2E9C-101B-9397-08002B2CF9AE}" pid="9" name="MSIP_Label_f7f97eba-7ea7-41d2-a730-578d3af7300c_Enabled">
    <vt:lpwstr>true</vt:lpwstr>
  </property>
  <property fmtid="{D5CDD505-2E9C-101B-9397-08002B2CF9AE}" pid="10" name="MSIP_Label_f7f97eba-7ea7-41d2-a730-578d3af7300c_Method">
    <vt:lpwstr>Privileged</vt:lpwstr>
  </property>
  <property fmtid="{D5CDD505-2E9C-101B-9397-08002B2CF9AE}" pid="11" name="MSIP_Label_f7f97eba-7ea7-41d2-a730-578d3af7300c_Name">
    <vt:lpwstr>Confidential - Internal</vt:lpwstr>
  </property>
  <property fmtid="{D5CDD505-2E9C-101B-9397-08002B2CF9AE}" pid="12" name="MSIP_Label_f7f97eba-7ea7-41d2-a730-578d3af7300c_SetDate">
    <vt:lpwstr>2022-05-23T09:29:06Z</vt:lpwstr>
  </property>
  <property fmtid="{D5CDD505-2E9C-101B-9397-08002B2CF9AE}" pid="13" name="MSIP_Label_f7f97eba-7ea7-41d2-a730-578d3af7300c_SiteId">
    <vt:lpwstr>9d1f0723-d711-4aab-b0a8-7780c86185f2</vt:lpwstr>
  </property>
  <property fmtid="{D5CDD505-2E9C-101B-9397-08002B2CF9AE}" pid="14" name="MediaServiceImageTags">
    <vt:lpwstr/>
  </property>
  <property fmtid="{D5CDD505-2E9C-101B-9397-08002B2CF9AE}" pid="15" name="Order">
    <vt:r8>459600</vt:r8>
  </property>
  <property fmtid="{D5CDD505-2E9C-101B-9397-08002B2CF9AE}" pid="16" name="ScaleCrop">
    <vt:bool>0</vt:bool>
  </property>
  <property fmtid="{D5CDD505-2E9C-101B-9397-08002B2CF9AE}" pid="17" name="ShareDoc">
    <vt:bool>0</vt:bool>
  </property>
</Properties>
</file>