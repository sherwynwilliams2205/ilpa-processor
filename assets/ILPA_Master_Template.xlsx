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6200" tabRatio="500" firstSheet="0" activeTab="0" autoFilterDateGrouping="1"/>
  </bookViews>
  <sheets>
    <sheet xmlns:r="http://schemas.openxmlformats.org/officeDocument/2006/relationships" name="Reporting 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mmm\-yy\)"/>
    <numFmt numFmtId="165" formatCode="&quot;$&quot;#,##0_);&quot;($&quot;#,##0\)"/>
    <numFmt numFmtId="166" formatCode="#,##0;\-#,##0"/>
    <numFmt numFmtId="167" formatCode="&quot;$&quot;#,##0"/>
    <numFmt numFmtId="168" formatCode="dd/mm/yyyy"/>
    <numFmt numFmtId="169" formatCode="&quot;$&quot;#,##0.00"/>
    <numFmt numFmtId="170" formatCode="0.000%"/>
    <numFmt numFmtId="171" formatCode="_-* #,##0.00_-;\-* #,##0.00_-;_-* \-??_-;_-@_-"/>
  </numFmts>
  <fonts count="55">
    <font>
      <name val="Calibri"/>
      <charset val="1"/>
      <color rgb="FF000000"/>
      <sz val="11"/>
    </font>
    <font>
      <name val="Arial"/>
      <charset val="1"/>
      <sz val="9"/>
    </font>
    <font>
      <name val="Arial"/>
      <charset val="1"/>
      <b val="1"/>
      <i val="1"/>
      <color rgb="FFFF0000"/>
      <sz val="10"/>
    </font>
    <font>
      <name val="Arial"/>
      <charset val="1"/>
      <b val="1"/>
      <i val="1"/>
      <sz val="12"/>
    </font>
    <font>
      <name val="Arial"/>
      <charset val="1"/>
      <b val="1"/>
      <sz val="9"/>
      <u val="single"/>
    </font>
    <font>
      <name val="Arial"/>
      <charset val="1"/>
      <b val="1"/>
      <i val="1"/>
      <sz val="11"/>
    </font>
    <font>
      <name val="Arial"/>
      <charset val="1"/>
      <b val="1"/>
      <i val="1"/>
      <sz val="10"/>
    </font>
    <font>
      <name val="Arial"/>
      <charset val="1"/>
      <b val="1"/>
      <sz val="10"/>
    </font>
    <font>
      <name val="Arial"/>
      <charset val="1"/>
      <b val="1"/>
      <color rgb="FF00B0F0"/>
      <sz val="9"/>
    </font>
    <font>
      <name val="Arial"/>
      <charset val="1"/>
      <color rgb="FF00B0F0"/>
      <sz val="9"/>
    </font>
    <font>
      <name val="Arial"/>
      <charset val="1"/>
      <b val="1"/>
      <sz val="9"/>
    </font>
    <font>
      <name val="Arial"/>
      <charset val="1"/>
      <sz val="10"/>
    </font>
    <font>
      <name val="Arial"/>
      <charset val="1"/>
      <color rgb="FF0070C0"/>
      <sz val="9"/>
    </font>
    <font>
      <name val="Arial"/>
      <charset val="1"/>
      <i val="1"/>
      <sz val="9"/>
    </font>
    <font>
      <name val="Arial"/>
      <charset val="1"/>
      <i val="1"/>
      <color rgb="FF0070C0"/>
      <sz val="9"/>
    </font>
    <font>
      <name val="Arial"/>
      <charset val="1"/>
      <b val="1"/>
      <i val="1"/>
      <sz val="9"/>
    </font>
    <font>
      <name val="Arial"/>
      <charset val="1"/>
      <color rgb="FF000000"/>
      <sz val="9"/>
    </font>
    <font>
      <name val="Arial"/>
      <charset val="1"/>
      <i val="1"/>
      <color rgb="FF00B0F0"/>
      <sz val="9"/>
    </font>
    <font>
      <name val="Arial"/>
      <charset val="1"/>
      <sz val="9"/>
      <vertAlign val="superscript"/>
    </font>
    <font>
      <name val="Arial"/>
      <charset val="1"/>
      <b val="1"/>
      <i val="1"/>
      <sz val="9"/>
      <u val="single"/>
    </font>
    <font>
      <name val="Arial"/>
      <charset val="1"/>
      <i val="1"/>
      <sz val="9"/>
      <u val="single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rial"/>
      <color rgb="00000000"/>
      <sz val="9"/>
    </font>
    <font>
      <name val="Arial"/>
      <i val="1"/>
      <color rgb="00000000"/>
      <sz val="9"/>
    </font>
    <font>
      <name val="Arial"/>
      <b val="1"/>
      <i val="1"/>
      <color rgb="00000000"/>
      <sz val="10"/>
    </font>
    <font>
      <name val="Calibri"/>
      <color rgb="00000000"/>
      <sz val="11"/>
    </font>
    <font>
      <name val="Arial"/>
      <b val="1"/>
      <i val="1"/>
      <color rgb="00000000"/>
      <sz val="12"/>
    </font>
    <font>
      <name val="Arial"/>
      <b val="1"/>
      <color rgb="00000000"/>
      <sz val="9"/>
      <u val="single"/>
    </font>
    <font>
      <name val="Arial"/>
      <b val="1"/>
      <i val="1"/>
      <color rgb="00000000"/>
      <sz val="11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color rgb="00000000"/>
      <sz val="10"/>
    </font>
    <font>
      <name val="Arial"/>
      <b val="1"/>
      <i val="1"/>
      <color rgb="00000000"/>
      <sz val="9"/>
    </font>
    <font>
      <name val="Arial"/>
      <b val="1"/>
      <i val="1"/>
      <color rgb="00000000"/>
      <sz val="9"/>
      <u val="single"/>
    </font>
    <font>
      <name val="Arial"/>
      <i val="1"/>
      <color rgb="00000000"/>
      <sz val="9"/>
      <u val="single"/>
    </font>
  </fonts>
  <fills count="37">
    <fill>
      <patternFill/>
    </fill>
    <fill>
      <patternFill patternType="gray125"/>
    </fill>
    <fill>
      <patternFill patternType="solid">
        <fgColor rgb="FFFFFFFF"/>
        <bgColor rgb="FFF9F9FA"/>
      </patternFill>
    </fill>
    <fill>
      <patternFill patternType="solid">
        <fgColor rgb="FFF9F9FA"/>
        <bgColor rgb="FFFFFFFF"/>
      </patternFill>
    </fill>
    <fill>
      <patternFill patternType="solid">
        <fgColor rgb="FFD5D5D6"/>
        <bgColor rgb="FFC0C0C0"/>
      </patternFill>
    </fill>
    <fill>
      <patternFill patternType="solid">
        <fgColor rgb="FFA6A6A6"/>
        <bgColor rgb="FFC0C0C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49">
    <xf numFmtId="0" fontId="0" fillId="0" borderId="0"/>
    <xf numFmtId="171" fontId="0" fillId="0" borderId="0"/>
    <xf numFmtId="44" fontId="21" fillId="0" borderId="0"/>
    <xf numFmtId="9" fontId="0" fillId="0" borderId="0"/>
    <xf numFmtId="41" fontId="21" fillId="0" borderId="0"/>
    <xf numFmtId="42" fontId="21" fillId="0" borderId="0"/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6" borderId="26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27" applyAlignment="1">
      <alignment vertical="center"/>
    </xf>
    <xf numFmtId="0" fontId="29" fillId="0" borderId="27" applyAlignment="1">
      <alignment vertical="center"/>
    </xf>
    <xf numFmtId="0" fontId="30" fillId="0" borderId="28" applyAlignment="1">
      <alignment vertical="center"/>
    </xf>
    <xf numFmtId="0" fontId="30" fillId="0" borderId="0" applyAlignment="1">
      <alignment vertical="center"/>
    </xf>
    <xf numFmtId="0" fontId="31" fillId="7" borderId="29" applyAlignment="1">
      <alignment vertical="center"/>
    </xf>
    <xf numFmtId="0" fontId="32" fillId="8" borderId="30" applyAlignment="1">
      <alignment vertical="center"/>
    </xf>
    <xf numFmtId="0" fontId="33" fillId="8" borderId="29" applyAlignment="1">
      <alignment vertical="center"/>
    </xf>
    <xf numFmtId="0" fontId="34" fillId="9" borderId="31" applyAlignment="1">
      <alignment vertical="center"/>
    </xf>
    <xf numFmtId="0" fontId="35" fillId="0" borderId="32" applyAlignment="1">
      <alignment vertical="center"/>
    </xf>
    <xf numFmtId="0" fontId="36" fillId="0" borderId="33" applyAlignment="1">
      <alignment vertical="center"/>
    </xf>
    <xf numFmtId="0" fontId="37" fillId="10" borderId="0" applyAlignment="1">
      <alignment vertical="center"/>
    </xf>
    <xf numFmtId="0" fontId="38" fillId="11" borderId="0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1" fillId="15" borderId="0" applyAlignment="1">
      <alignment vertical="center"/>
    </xf>
    <xf numFmtId="0" fontId="40" fillId="16" borderId="0" applyAlignment="1">
      <alignment vertical="center"/>
    </xf>
    <xf numFmtId="0" fontId="40" fillId="17" borderId="0" applyAlignment="1">
      <alignment vertical="center"/>
    </xf>
    <xf numFmtId="0" fontId="41" fillId="18" borderId="0" applyAlignment="1">
      <alignment vertical="center"/>
    </xf>
    <xf numFmtId="0" fontId="41" fillId="19" borderId="0" applyAlignment="1">
      <alignment vertical="center"/>
    </xf>
    <xf numFmtId="0" fontId="40" fillId="20" borderId="0" applyAlignment="1">
      <alignment vertical="center"/>
    </xf>
    <xf numFmtId="0" fontId="40" fillId="21" borderId="0" applyAlignment="1">
      <alignment vertical="center"/>
    </xf>
    <xf numFmtId="0" fontId="41" fillId="22" borderId="0" applyAlignment="1">
      <alignment vertical="center"/>
    </xf>
    <xf numFmtId="0" fontId="41" fillId="23" borderId="0" applyAlignment="1">
      <alignment vertical="center"/>
    </xf>
    <xf numFmtId="0" fontId="40" fillId="24" borderId="0" applyAlignment="1">
      <alignment vertical="center"/>
    </xf>
    <xf numFmtId="0" fontId="40" fillId="25" borderId="0" applyAlignment="1">
      <alignment vertical="center"/>
    </xf>
    <xf numFmtId="0" fontId="41" fillId="26" borderId="0" applyAlignment="1">
      <alignment vertical="center"/>
    </xf>
    <xf numFmtId="0" fontId="41" fillId="27" borderId="0" applyAlignment="1">
      <alignment vertical="center"/>
    </xf>
    <xf numFmtId="0" fontId="40" fillId="28" borderId="0" applyAlignment="1">
      <alignment vertical="center"/>
    </xf>
    <xf numFmtId="0" fontId="40" fillId="29" borderId="0" applyAlignment="1">
      <alignment vertical="center"/>
    </xf>
    <xf numFmtId="0" fontId="41" fillId="30" borderId="0" applyAlignment="1">
      <alignment vertical="center"/>
    </xf>
    <xf numFmtId="0" fontId="41" fillId="31" borderId="0" applyAlignment="1">
      <alignment vertical="center"/>
    </xf>
    <xf numFmtId="0" fontId="40" fillId="32" borderId="0" applyAlignment="1">
      <alignment vertical="center"/>
    </xf>
    <xf numFmtId="0" fontId="40" fillId="33" borderId="0" applyAlignment="1">
      <alignment vertical="center"/>
    </xf>
    <xf numFmtId="0" fontId="41" fillId="34" borderId="0" applyAlignment="1">
      <alignment vertical="center"/>
    </xf>
    <xf numFmtId="0" fontId="41" fillId="35" borderId="0" applyAlignment="1">
      <alignment vertical="center"/>
    </xf>
    <xf numFmtId="0" fontId="40" fillId="36" borderId="0" applyAlignment="1">
      <alignment vertical="center"/>
    </xf>
  </cellStyleXfs>
  <cellXfs count="3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right" wrapText="1"/>
    </xf>
    <xf numFmtId="0" fontId="3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4" fontId="1" fillId="0" borderId="6" applyAlignment="1" pivotButton="0" quotePrefix="0" xfId="0">
      <alignment horizontal="center" vertical="center" wrapText="1"/>
    </xf>
    <xf numFmtId="164" fontId="1" fillId="0" borderId="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left" wrapText="1"/>
    </xf>
    <xf numFmtId="165" fontId="8" fillId="0" borderId="4" applyAlignment="1" pivotButton="0" quotePrefix="0" xfId="0">
      <alignment horizontal="center" vertical="center" wrapText="1"/>
    </xf>
    <xf numFmtId="165" fontId="8" fillId="0" borderId="5" applyAlignment="1" pivotButton="0" quotePrefix="0" xfId="0">
      <alignment horizontal="center" vertical="center" wrapText="1"/>
    </xf>
    <xf numFmtId="165" fontId="8" fillId="0" borderId="3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/>
    </xf>
    <xf numFmtId="166" fontId="9" fillId="0" borderId="0" applyAlignment="1" pivotButton="0" quotePrefix="0" xfId="0">
      <alignment horizontal="center" vertical="center" wrapText="1"/>
    </xf>
    <xf numFmtId="166" fontId="9" fillId="0" borderId="11" applyAlignment="1" pivotButton="0" quotePrefix="0" xfId="0">
      <alignment horizontal="center" vertical="center" wrapText="1"/>
    </xf>
    <xf numFmtId="166" fontId="9" fillId="0" borderId="12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left" vertical="center" wrapText="1"/>
    </xf>
    <xf numFmtId="166" fontId="9" fillId="2" borderId="0" applyAlignment="1" pivotButton="0" quotePrefix="0" xfId="1">
      <alignment horizontal="center" vertical="center" wrapText="1"/>
    </xf>
    <xf numFmtId="166" fontId="9" fillId="2" borderId="11" applyAlignment="1" pivotButton="0" quotePrefix="0" xfId="1">
      <alignment horizontal="center" vertical="center" wrapText="1"/>
    </xf>
    <xf numFmtId="166" fontId="9" fillId="2" borderId="12" applyAlignment="1" pivotButton="0" quotePrefix="0" xfId="0">
      <alignment horizontal="center" vertical="center" wrapText="1"/>
    </xf>
    <xf numFmtId="0" fontId="7" fillId="2" borderId="10" applyAlignment="1" pivotButton="0" quotePrefix="0" xfId="0">
      <alignment horizontal="left" vertical="center" wrapText="1"/>
    </xf>
    <xf numFmtId="166" fontId="10" fillId="2" borderId="0" applyAlignment="1" pivotButton="0" quotePrefix="0" xfId="0">
      <alignment horizontal="center" vertical="center" wrapText="1"/>
    </xf>
    <xf numFmtId="166" fontId="10" fillId="2" borderId="11" applyAlignment="1" pivotButton="0" quotePrefix="0" xfId="0">
      <alignment horizontal="center" vertical="center" wrapText="1"/>
    </xf>
    <xf numFmtId="166" fontId="10" fillId="2" borderId="12" applyAlignment="1" pivotButton="0" quotePrefix="0" xfId="0">
      <alignment horizontal="center" vertical="center" wrapText="1"/>
    </xf>
    <xf numFmtId="0" fontId="11" fillId="2" borderId="10" applyAlignment="1" pivotButton="0" quotePrefix="0" xfId="0">
      <alignment horizontal="left" vertical="center" wrapText="1"/>
    </xf>
    <xf numFmtId="166" fontId="1" fillId="2" borderId="10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left" vertical="center" wrapText="1" indent="4"/>
    </xf>
    <xf numFmtId="166" fontId="12" fillId="2" borderId="0" applyAlignment="1" pivotButton="0" quotePrefix="0" xfId="0">
      <alignment horizontal="center" vertical="center" wrapText="1"/>
    </xf>
    <xf numFmtId="166" fontId="12" fillId="2" borderId="11" applyAlignment="1" pivotButton="0" quotePrefix="0" xfId="0">
      <alignment horizontal="center" vertical="center" wrapText="1"/>
    </xf>
    <xf numFmtId="166" fontId="12" fillId="2" borderId="12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center" wrapText="1" indent="4"/>
    </xf>
    <xf numFmtId="166" fontId="12" fillId="0" borderId="0" applyAlignment="1" pivotButton="0" quotePrefix="0" xfId="0">
      <alignment horizontal="center" vertical="center" wrapText="1"/>
    </xf>
    <xf numFmtId="166" fontId="12" fillId="0" borderId="11" applyAlignment="1" pivotButton="0" quotePrefix="0" xfId="0">
      <alignment horizontal="center" vertical="center" wrapText="1"/>
    </xf>
    <xf numFmtId="166" fontId="12" fillId="0" borderId="12" applyAlignment="1" pivotButton="0" quotePrefix="0" xfId="0">
      <alignment horizontal="center" vertical="center" wrapText="1"/>
    </xf>
    <xf numFmtId="166" fontId="1" fillId="0" borderId="0" applyAlignment="1" pivotButton="0" quotePrefix="0" xfId="0">
      <alignment horizontal="center" vertical="center" wrapText="1"/>
    </xf>
    <xf numFmtId="166" fontId="1" fillId="0" borderId="11" applyAlignment="1" pivotButton="0" quotePrefix="0" xfId="0">
      <alignment horizontal="center" vertical="center" wrapText="1"/>
    </xf>
    <xf numFmtId="166" fontId="1" fillId="0" borderId="12" applyAlignment="1" pivotButton="0" quotePrefix="0" xfId="0">
      <alignment horizontal="center" vertical="center" wrapText="1"/>
    </xf>
    <xf numFmtId="0" fontId="13" fillId="3" borderId="10" applyAlignment="1" pivotButton="0" quotePrefix="0" xfId="0">
      <alignment horizontal="left" vertical="center" wrapText="1" indent="7"/>
    </xf>
    <xf numFmtId="166" fontId="14" fillId="3" borderId="0" applyAlignment="1" pivotButton="0" quotePrefix="0" xfId="0">
      <alignment horizontal="center" vertical="center" wrapText="1"/>
    </xf>
    <xf numFmtId="166" fontId="14" fillId="3" borderId="11" applyAlignment="1" pivotButton="0" quotePrefix="0" xfId="0">
      <alignment horizontal="center" vertical="center" wrapText="1"/>
    </xf>
    <xf numFmtId="166" fontId="14" fillId="3" borderId="12" applyAlignment="1" pivotButton="0" quotePrefix="0" xfId="0">
      <alignment horizontal="center" vertical="center" wrapText="1"/>
    </xf>
    <xf numFmtId="0" fontId="4" fillId="3" borderId="12" applyAlignment="1" pivotButton="0" quotePrefix="0" xfId="0">
      <alignment horizontal="left" vertical="center" wrapText="1" indent="7"/>
    </xf>
    <xf numFmtId="0" fontId="4" fillId="3" borderId="11" applyAlignment="1" pivotButton="0" quotePrefix="0" xfId="0">
      <alignment horizontal="center" wrapText="1"/>
    </xf>
    <xf numFmtId="166" fontId="12" fillId="3" borderId="0" applyAlignment="1" pivotButton="0" quotePrefix="0" xfId="0">
      <alignment horizontal="center" vertical="center" wrapText="1"/>
    </xf>
    <xf numFmtId="166" fontId="12" fillId="3" borderId="11" applyAlignment="1" pivotButton="0" quotePrefix="0" xfId="0">
      <alignment horizontal="center" vertical="center" wrapText="1"/>
    </xf>
    <xf numFmtId="166" fontId="12" fillId="3" borderId="12" applyAlignment="1" pivotButton="0" quotePrefix="0" xfId="0">
      <alignment horizontal="center" vertical="center" wrapText="1"/>
    </xf>
    <xf numFmtId="0" fontId="13" fillId="3" borderId="12" applyAlignment="1" pivotButton="0" quotePrefix="0" xfId="0">
      <alignment horizontal="left" vertical="center" wrapText="1" indent="7"/>
    </xf>
    <xf numFmtId="9" fontId="13" fillId="4" borderId="11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3" fillId="3" borderId="14" applyAlignment="1" pivotButton="0" quotePrefix="0" xfId="0">
      <alignment horizontal="left" vertical="center" wrapText="1"/>
    </xf>
    <xf numFmtId="166" fontId="14" fillId="3" borderId="15" applyAlignment="1" pivotButton="0" quotePrefix="0" xfId="0">
      <alignment horizontal="center" vertical="center" wrapText="1"/>
    </xf>
    <xf numFmtId="166" fontId="14" fillId="3" borderId="14" applyAlignment="1" pivotButton="0" quotePrefix="0" xfId="0">
      <alignment horizontal="center" vertical="center" wrapText="1"/>
    </xf>
    <xf numFmtId="166" fontId="14" fillId="3" borderId="16" applyAlignment="1" pivotButton="0" quotePrefix="0" xfId="0">
      <alignment horizontal="center" vertical="center" wrapText="1"/>
    </xf>
    <xf numFmtId="0" fontId="13" fillId="3" borderId="11" applyAlignment="1" pivotButton="0" quotePrefix="0" xfId="0">
      <alignment horizontal="left" vertical="center" wrapText="1" indent="4"/>
    </xf>
    <xf numFmtId="166" fontId="13" fillId="3" borderId="0" applyAlignment="1" pivotButton="0" quotePrefix="0" xfId="0">
      <alignment horizontal="center" vertical="center" wrapText="1"/>
    </xf>
    <xf numFmtId="166" fontId="13" fillId="3" borderId="11" applyAlignment="1" pivotButton="0" quotePrefix="0" xfId="0">
      <alignment horizontal="center" vertical="center" wrapText="1"/>
    </xf>
    <xf numFmtId="166" fontId="13" fillId="3" borderId="12" applyAlignment="1" pivotButton="0" quotePrefix="0" xfId="0">
      <alignment horizontal="center" vertical="center" wrapText="1"/>
    </xf>
    <xf numFmtId="0" fontId="13" fillId="3" borderId="17" applyAlignment="1" pivotButton="0" quotePrefix="0" xfId="0">
      <alignment horizontal="left" vertical="center" wrapText="1"/>
    </xf>
    <xf numFmtId="166" fontId="13" fillId="3" borderId="18" applyAlignment="1" pivotButton="0" quotePrefix="0" xfId="0">
      <alignment horizontal="center" vertical="center" wrapText="1"/>
    </xf>
    <xf numFmtId="166" fontId="13" fillId="3" borderId="17" applyAlignment="1" pivotButton="0" quotePrefix="0" xfId="0">
      <alignment horizontal="center" vertical="center" wrapText="1"/>
    </xf>
    <xf numFmtId="166" fontId="13" fillId="3" borderId="19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center" vertical="center" wrapText="1"/>
    </xf>
    <xf numFmtId="166" fontId="16" fillId="0" borderId="11" applyAlignment="1" pivotButton="0" quotePrefix="0" xfId="0">
      <alignment horizontal="center" vertical="center" wrapText="1"/>
    </xf>
    <xf numFmtId="166" fontId="16" fillId="0" borderId="12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6" fontId="10" fillId="0" borderId="11" applyAlignment="1" pivotButton="0" quotePrefix="0" xfId="0">
      <alignment horizontal="center" vertical="center" wrapText="1"/>
    </xf>
    <xf numFmtId="166" fontId="10" fillId="0" borderId="12" applyAlignment="1" pivotButton="0" quotePrefix="0" xfId="0">
      <alignment horizontal="center" vertical="center" wrapText="1"/>
    </xf>
    <xf numFmtId="166" fontId="8" fillId="0" borderId="0" applyAlignment="1" pivotButton="0" quotePrefix="0" xfId="0">
      <alignment horizontal="center" vertical="center" wrapText="1"/>
    </xf>
    <xf numFmtId="166" fontId="8" fillId="0" borderId="11" applyAlignment="1" pivotButton="0" quotePrefix="0" xfId="0">
      <alignment horizontal="center" vertical="center" wrapText="1"/>
    </xf>
    <xf numFmtId="166" fontId="8" fillId="0" borderId="12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7" fontId="10" fillId="0" borderId="11" applyAlignment="1" pivotButton="0" quotePrefix="0" xfId="0">
      <alignment horizontal="center" vertical="center" wrapText="1"/>
    </xf>
    <xf numFmtId="167" fontId="10" fillId="0" borderId="12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0" fontId="1" fillId="2" borderId="21" applyAlignment="1" pivotButton="0" quotePrefix="0" xfId="0">
      <alignment horizontal="left" vertical="center"/>
    </xf>
    <xf numFmtId="166" fontId="9" fillId="2" borderId="15" applyAlignment="1" pivotButton="0" quotePrefix="0" xfId="0">
      <alignment horizontal="center" vertical="center" wrapText="1"/>
    </xf>
    <xf numFmtId="166" fontId="9" fillId="2" borderId="14" applyAlignment="1" pivotButton="0" quotePrefix="0" xfId="0">
      <alignment horizontal="center" vertical="center" wrapText="1"/>
    </xf>
    <xf numFmtId="166" fontId="9" fillId="2" borderId="16" applyAlignment="1" pivotButton="0" quotePrefix="0" xfId="0">
      <alignment horizontal="center" vertical="center" wrapText="1"/>
    </xf>
    <xf numFmtId="0" fontId="1" fillId="2" borderId="22" applyAlignment="1" pivotButton="0" quotePrefix="0" xfId="0">
      <alignment horizontal="left" vertical="center" indent="4"/>
    </xf>
    <xf numFmtId="166" fontId="9" fillId="2" borderId="0" applyAlignment="1" pivotButton="0" quotePrefix="0" xfId="0">
      <alignment horizontal="center" vertical="center" wrapText="1"/>
    </xf>
    <xf numFmtId="166" fontId="9" fillId="2" borderId="11" applyAlignment="1" pivotButton="0" quotePrefix="0" xfId="0">
      <alignment horizontal="center" vertical="center" wrapText="1"/>
    </xf>
    <xf numFmtId="0" fontId="1" fillId="2" borderId="22" applyAlignment="1" pivotButton="0" quotePrefix="0" xfId="0">
      <alignment horizontal="left" vertical="center"/>
    </xf>
    <xf numFmtId="166" fontId="1" fillId="2" borderId="0" applyAlignment="1" pivotButton="0" quotePrefix="0" xfId="0">
      <alignment horizontal="center" vertical="center" wrapText="1"/>
    </xf>
    <xf numFmtId="166" fontId="1" fillId="2" borderId="11" applyAlignment="1" pivotButton="0" quotePrefix="0" xfId="0">
      <alignment horizontal="center" vertical="center" wrapText="1"/>
    </xf>
    <xf numFmtId="166" fontId="1" fillId="2" borderId="12" applyAlignment="1" pivotButton="0" quotePrefix="0" xfId="0">
      <alignment horizontal="center" vertical="center" wrapText="1"/>
    </xf>
    <xf numFmtId="0" fontId="1" fillId="2" borderId="23" applyAlignment="1" pivotButton="0" quotePrefix="0" xfId="0">
      <alignment horizontal="left" vertical="center" wrapText="1"/>
    </xf>
    <xf numFmtId="165" fontId="1" fillId="2" borderId="1" applyAlignment="1" pivotButton="0" quotePrefix="0" xfId="0">
      <alignment horizontal="center" vertical="center" wrapText="1"/>
    </xf>
    <xf numFmtId="165" fontId="1" fillId="2" borderId="7" applyAlignment="1" pivotButton="0" quotePrefix="0" xfId="0">
      <alignment horizontal="center" vertical="center" wrapText="1"/>
    </xf>
    <xf numFmtId="165" fontId="1" fillId="2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165" fontId="10" fillId="0" borderId="0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left" vertical="center" wrapText="1"/>
    </xf>
    <xf numFmtId="165" fontId="10" fillId="0" borderId="4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165" fontId="8" fillId="0" borderId="12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center" vertical="center" wrapText="1"/>
    </xf>
    <xf numFmtId="165" fontId="10" fillId="0" borderId="1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/>
    </xf>
    <xf numFmtId="0" fontId="1" fillId="0" borderId="3" pivotButton="0" quotePrefix="0" xfId="0"/>
    <xf numFmtId="168" fontId="9" fillId="0" borderId="5" pivotButton="0" quotePrefix="0" xfId="0"/>
    <xf numFmtId="9" fontId="1" fillId="0" borderId="12" pivotButton="0" quotePrefix="0" xfId="0"/>
    <xf numFmtId="168" fontId="9" fillId="0" borderId="11" pivotButton="0" quotePrefix="0" xfId="0"/>
    <xf numFmtId="0" fontId="1" fillId="0" borderId="12" pivotButton="0" quotePrefix="0" xfId="0"/>
    <xf numFmtId="0" fontId="1" fillId="0" borderId="6" pivotButton="0" quotePrefix="0" xfId="0"/>
    <xf numFmtId="168" fontId="9" fillId="0" borderId="7" pivotButton="0" quotePrefix="0" xfId="0"/>
    <xf numFmtId="169" fontId="1" fillId="0" borderId="0" pivotButton="0" quotePrefix="0" xfId="0"/>
    <xf numFmtId="0" fontId="13" fillId="0" borderId="0" applyAlignment="1" pivotButton="0" quotePrefix="0" xfId="0">
      <alignment horizontal="left" vertical="center"/>
    </xf>
    <xf numFmtId="169" fontId="13" fillId="0" borderId="0" applyAlignment="1" pivotButton="0" quotePrefix="0" xfId="0">
      <alignment horizontal="left"/>
    </xf>
    <xf numFmtId="170" fontId="13" fillId="0" borderId="0" applyAlignment="1" pivotButton="0" quotePrefix="0" xfId="3">
      <alignment horizontal="left"/>
    </xf>
    <xf numFmtId="0" fontId="7" fillId="0" borderId="24" applyAlignment="1" pivotButton="0" quotePrefix="0" xfId="0">
      <alignment horizontal="left" vertical="center" wrapText="1"/>
    </xf>
    <xf numFmtId="165" fontId="10" fillId="0" borderId="6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0" borderId="7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165" fontId="6" fillId="0" borderId="25" applyAlignment="1" pivotButton="0" quotePrefix="0" xfId="0">
      <alignment horizontal="center" vertical="center" wrapText="1"/>
    </xf>
    <xf numFmtId="165" fontId="9" fillId="0" borderId="12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center" vertical="center" wrapText="1"/>
    </xf>
    <xf numFmtId="165" fontId="16" fillId="0" borderId="11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left" vertical="center" wrapText="1"/>
    </xf>
    <xf numFmtId="165" fontId="9" fillId="0" borderId="0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165" fontId="9" fillId="2" borderId="12" applyAlignment="1" pivotButton="0" quotePrefix="0" xfId="0">
      <alignment horizontal="center" vertical="center" wrapText="1"/>
    </xf>
    <xf numFmtId="165" fontId="9" fillId="2" borderId="0" applyAlignment="1" pivotButton="0" quotePrefix="0" xfId="0">
      <alignment horizontal="center" vertical="center" wrapText="1"/>
    </xf>
    <xf numFmtId="165" fontId="9" fillId="2" borderId="11" applyAlignment="1" pivotButton="0" quotePrefix="0" xfId="0">
      <alignment horizontal="center" vertical="center" wrapText="1"/>
    </xf>
    <xf numFmtId="0" fontId="11" fillId="2" borderId="24" applyAlignment="1" pivotButton="0" quotePrefix="0" xfId="0">
      <alignment horizontal="left" vertical="center" wrapText="1"/>
    </xf>
    <xf numFmtId="165" fontId="6" fillId="2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left" vertical="center" wrapText="1"/>
    </xf>
    <xf numFmtId="166" fontId="1" fillId="2" borderId="3" applyAlignment="1" pivotButton="0" quotePrefix="0" xfId="0">
      <alignment horizontal="center" vertical="center" wrapText="1"/>
    </xf>
    <xf numFmtId="166" fontId="1" fillId="2" borderId="4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left" vertical="center" wrapText="1"/>
    </xf>
    <xf numFmtId="0" fontId="1" fillId="2" borderId="6" applyAlignment="1" pivotButton="0" quotePrefix="0" xfId="0">
      <alignment horizontal="left" vertical="center" wrapText="1"/>
    </xf>
    <xf numFmtId="166" fontId="16" fillId="0" borderId="6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wrapText="1"/>
    </xf>
    <xf numFmtId="0" fontId="13" fillId="3" borderId="12" applyAlignment="1" pivotButton="0" quotePrefix="0" xfId="0">
      <alignment horizontal="left" vertical="center" wrapText="1" indent="4"/>
    </xf>
    <xf numFmtId="166" fontId="17" fillId="3" borderId="12" applyAlignment="1" pivotButton="0" quotePrefix="0" xfId="0">
      <alignment horizontal="center" vertical="center" wrapText="1"/>
    </xf>
    <xf numFmtId="166" fontId="17" fillId="3" borderId="0" applyAlignment="1" pivotButton="0" quotePrefix="0" xfId="0">
      <alignment horizontal="center" vertical="center" wrapText="1"/>
    </xf>
    <xf numFmtId="0" fontId="1" fillId="0" borderId="24" applyAlignment="1" pivotButton="0" quotePrefix="0" xfId="0">
      <alignment horizontal="left" vertical="center" wrapText="1"/>
    </xf>
    <xf numFmtId="166" fontId="9" fillId="2" borderId="6" applyAlignment="1" pivotButton="0" quotePrefix="0" xfId="0">
      <alignment horizontal="center" vertical="center" wrapText="1"/>
    </xf>
    <xf numFmtId="166" fontId="9" fillId="2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left" wrapText="1"/>
    </xf>
    <xf numFmtId="0" fontId="18" fillId="2" borderId="0" applyAlignment="1" pivotButton="0" quotePrefix="0" xfId="0">
      <alignment horizontal="left"/>
    </xf>
    <xf numFmtId="0" fontId="6" fillId="3" borderId="2" applyAlignment="1" pivotButton="0" quotePrefix="0" xfId="0">
      <alignment horizontal="left" vertical="center" wrapText="1"/>
    </xf>
    <xf numFmtId="0" fontId="1" fillId="2" borderId="0" pivotButton="0" quotePrefix="0" xfId="0"/>
    <xf numFmtId="0" fontId="15" fillId="2" borderId="0" applyAlignment="1" pivotButton="0" quotePrefix="0" xfId="0">
      <alignment horizontal="center" vertical="center" wrapText="1"/>
    </xf>
    <xf numFmtId="0" fontId="19" fillId="2" borderId="9" applyAlignment="1" pivotButton="0" quotePrefix="0" xfId="0">
      <alignment horizontal="left"/>
    </xf>
    <xf numFmtId="0" fontId="1" fillId="2" borderId="10" applyAlignment="1" pivotButton="0" quotePrefix="0" xfId="0">
      <alignment horizontal="left"/>
    </xf>
    <xf numFmtId="0" fontId="20" fillId="2" borderId="10" applyAlignment="1" pivotButton="0" quotePrefix="0" xfId="0">
      <alignment horizontal="left"/>
    </xf>
    <xf numFmtId="0" fontId="1" fillId="2" borderId="24" applyAlignment="1" pivotButton="0" quotePrefix="0" xfId="0">
      <alignment horizontal="left"/>
    </xf>
    <xf numFmtId="165" fontId="1" fillId="5" borderId="2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/>
    </xf>
    <xf numFmtId="166" fontId="1" fillId="2" borderId="5" applyAlignment="1" pivotButton="0" quotePrefix="0" xfId="0">
      <alignment horizontal="center" vertical="center" wrapText="1"/>
    </xf>
    <xf numFmtId="165" fontId="1" fillId="5" borderId="8" applyAlignment="1" pivotButton="0" quotePrefix="0" xfId="0">
      <alignment horizontal="center" vertical="center" wrapText="1"/>
    </xf>
    <xf numFmtId="166" fontId="16" fillId="0" borderId="7" applyAlignment="1" pivotButton="0" quotePrefix="0" xfId="0">
      <alignment horizontal="center" vertical="center" wrapText="1"/>
    </xf>
    <xf numFmtId="165" fontId="1" fillId="0" borderId="12" applyAlignment="1" pivotButton="0" quotePrefix="0" xfId="0">
      <alignment horizontal="center" vertical="center" wrapText="1"/>
    </xf>
    <xf numFmtId="165" fontId="1" fillId="0" borderId="0" applyAlignment="1" pivotButton="0" quotePrefix="0" xfId="0">
      <alignment horizontal="center" vertical="center" wrapText="1"/>
    </xf>
    <xf numFmtId="165" fontId="1" fillId="0" borderId="11" applyAlignment="1" pivotButton="0" quotePrefix="0" xfId="0">
      <alignment horizontal="center" vertical="center" wrapText="1"/>
    </xf>
    <xf numFmtId="166" fontId="17" fillId="3" borderId="11" applyAlignment="1" pivotButton="0" quotePrefix="0" xfId="0">
      <alignment horizontal="center" vertical="center" wrapText="1"/>
    </xf>
    <xf numFmtId="166" fontId="9" fillId="2" borderId="7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applyAlignment="1" pivotButton="0" quotePrefix="0" xfId="0">
      <alignment horizontal="left"/>
    </xf>
    <xf numFmtId="0" fontId="44" fillId="0" borderId="1" applyAlignment="1" pivotButton="0" quotePrefix="0" xfId="0">
      <alignment horizontal="right" wrapText="1"/>
    </xf>
    <xf numFmtId="0" fontId="45" fillId="0" borderId="1" pivotButton="0" quotePrefix="0" xfId="0"/>
    <xf numFmtId="0" fontId="42" fillId="0" borderId="3" pivotButton="0" quotePrefix="0" xfId="0"/>
    <xf numFmtId="168" fontId="42" fillId="0" borderId="5" pivotButton="0" quotePrefix="0" xfId="0"/>
    <xf numFmtId="0" fontId="46" fillId="0" borderId="2" applyAlignment="1" pivotButton="0" quotePrefix="0" xfId="0">
      <alignment horizontal="left" vertical="center" wrapText="1"/>
    </xf>
    <xf numFmtId="0" fontId="45" fillId="0" borderId="4" pivotButton="0" quotePrefix="0" xfId="0"/>
    <xf numFmtId="0" fontId="45" fillId="0" borderId="5" pivotButton="0" quotePrefix="0" xfId="0"/>
    <xf numFmtId="0" fontId="47" fillId="0" borderId="3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47" fillId="0" borderId="5" applyAlignment="1" pivotButton="0" quotePrefix="0" xfId="0">
      <alignment horizontal="center" vertical="center" wrapText="1"/>
    </xf>
    <xf numFmtId="9" fontId="42" fillId="0" borderId="12" pivotButton="0" quotePrefix="0" xfId="0"/>
    <xf numFmtId="168" fontId="42" fillId="0" borderId="11" pivotButton="0" quotePrefix="0" xfId="0"/>
    <xf numFmtId="0" fontId="45" fillId="0" borderId="12" pivotButton="0" quotePrefix="0" xfId="0"/>
    <xf numFmtId="0" fontId="45" fillId="0" borderId="0" pivotButton="0" quotePrefix="0" xfId="0"/>
    <xf numFmtId="0" fontId="45" fillId="0" borderId="11" pivotButton="0" quotePrefix="0" xfId="0"/>
    <xf numFmtId="164" fontId="42" fillId="0" borderId="1" applyAlignment="1" pivotButton="0" quotePrefix="0" xfId="0">
      <alignment horizontal="center" vertical="center" wrapText="1"/>
    </xf>
    <xf numFmtId="0" fontId="42" fillId="0" borderId="12" pivotButton="0" quotePrefix="0" xfId="0"/>
    <xf numFmtId="0" fontId="45" fillId="0" borderId="6" pivotButton="0" quotePrefix="0" xfId="0"/>
    <xf numFmtId="0" fontId="45" fillId="0" borderId="7" pivotButton="0" quotePrefix="0" xfId="0"/>
    <xf numFmtId="164" fontId="42" fillId="0" borderId="6" applyAlignment="1" pivotButton="0" quotePrefix="0" xfId="0">
      <alignment horizontal="center" vertical="center" wrapText="1"/>
    </xf>
    <xf numFmtId="164" fontId="42" fillId="0" borderId="7" applyAlignment="1" pivotButton="0" quotePrefix="0" xfId="0">
      <alignment horizontal="center" vertical="center" wrapText="1"/>
    </xf>
    <xf numFmtId="0" fontId="42" fillId="0" borderId="6" pivotButton="0" quotePrefix="0" xfId="0"/>
    <xf numFmtId="168" fontId="42" fillId="0" borderId="7" pivotButton="0" quotePrefix="0" xfId="0"/>
    <xf numFmtId="0" fontId="42" fillId="0" borderId="0" applyAlignment="1" pivotButton="0" quotePrefix="0" xfId="0">
      <alignment horizontal="left"/>
    </xf>
    <xf numFmtId="0" fontId="46" fillId="0" borderId="4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wrapText="1"/>
    </xf>
    <xf numFmtId="169" fontId="42" fillId="0" borderId="0" pivotButton="0" quotePrefix="0" xfId="0"/>
    <xf numFmtId="0" fontId="42" fillId="0" borderId="0" applyAlignment="1" pivotButton="0" quotePrefix="0" xfId="0">
      <alignment vertical="center"/>
    </xf>
    <xf numFmtId="0" fontId="44" fillId="0" borderId="2" applyAlignment="1" pivotButton="0" quotePrefix="0" xfId="0">
      <alignment horizontal="left" vertical="center" wrapText="1"/>
    </xf>
    <xf numFmtId="0" fontId="45" fillId="0" borderId="34" pivotButton="0" quotePrefix="0" xfId="0"/>
    <xf numFmtId="0" fontId="45" fillId="0" borderId="8" pivotButton="0" quotePrefix="0" xfId="0"/>
    <xf numFmtId="0" fontId="44" fillId="0" borderId="2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/>
    </xf>
    <xf numFmtId="0" fontId="49" fillId="0" borderId="9" applyAlignment="1" pivotButton="0" quotePrefix="0" xfId="0">
      <alignment horizontal="left" wrapText="1"/>
    </xf>
    <xf numFmtId="165" fontId="50" fillId="0" borderId="4" applyAlignment="1" pivotButton="0" quotePrefix="0" xfId="0">
      <alignment horizontal="center" vertical="center" wrapText="1"/>
    </xf>
    <xf numFmtId="165" fontId="50" fillId="0" borderId="5" applyAlignment="1" pivotButton="0" quotePrefix="0" xfId="0">
      <alignment horizontal="center" vertical="center" wrapText="1"/>
    </xf>
    <xf numFmtId="165" fontId="50" fillId="0" borderId="3" applyAlignment="1" pivotButton="0" quotePrefix="0" xfId="0">
      <alignment horizontal="center" vertical="center" wrapText="1"/>
    </xf>
    <xf numFmtId="169" fontId="43" fillId="0" borderId="0" applyAlignment="1" pivotButton="0" quotePrefix="0" xfId="0">
      <alignment horizontal="left"/>
    </xf>
    <xf numFmtId="0" fontId="42" fillId="0" borderId="10" applyAlignment="1" pivotButton="0" quotePrefix="0" xfId="0">
      <alignment horizontal="left" vertical="center" wrapText="1"/>
    </xf>
    <xf numFmtId="166" fontId="42" fillId="0" borderId="0" applyAlignment="1" pivotButton="0" quotePrefix="0" xfId="0">
      <alignment horizontal="center" vertical="center" wrapText="1"/>
    </xf>
    <xf numFmtId="166" fontId="42" fillId="0" borderId="11" applyAlignment="1" pivotButton="0" quotePrefix="0" xfId="0">
      <alignment horizontal="center" vertical="center" wrapText="1"/>
    </xf>
    <xf numFmtId="166" fontId="42" fillId="0" borderId="12" applyAlignment="1" pivotButton="0" quotePrefix="0" xfId="0">
      <alignment horizontal="center" vertical="center" wrapText="1"/>
    </xf>
    <xf numFmtId="166" fontId="42" fillId="0" borderId="0" applyAlignment="1" pivotButton="0" quotePrefix="0" xfId="1">
      <alignment horizontal="center" vertical="center" wrapText="1"/>
    </xf>
    <xf numFmtId="166" fontId="42" fillId="0" borderId="11" applyAlignment="1" pivotButton="0" quotePrefix="0" xfId="1">
      <alignment horizontal="center" vertical="center" wrapText="1"/>
    </xf>
    <xf numFmtId="0" fontId="49" fillId="0" borderId="10" applyAlignment="1" pivotButton="0" quotePrefix="0" xfId="0">
      <alignment horizontal="left" vertical="center" wrapText="1"/>
    </xf>
    <xf numFmtId="166" fontId="50" fillId="0" borderId="0" applyAlignment="1" pivotButton="0" quotePrefix="0" xfId="0">
      <alignment horizontal="center" vertical="center" wrapText="1"/>
    </xf>
    <xf numFmtId="166" fontId="50" fillId="0" borderId="11" applyAlignment="1" pivotButton="0" quotePrefix="0" xfId="0">
      <alignment horizontal="center" vertical="center" wrapText="1"/>
    </xf>
    <xf numFmtId="166" fontId="50" fillId="0" borderId="12" applyAlignment="1" pivotButton="0" quotePrefix="0" xfId="0">
      <alignment horizontal="center" vertical="center" wrapText="1"/>
    </xf>
    <xf numFmtId="0" fontId="51" fillId="0" borderId="10" applyAlignment="1" pivotButton="0" quotePrefix="0" xfId="0">
      <alignment horizontal="left" vertical="center" wrapText="1"/>
    </xf>
    <xf numFmtId="166" fontId="42" fillId="0" borderId="10" applyAlignment="1" pivotButton="0" quotePrefix="0" xfId="0">
      <alignment horizontal="center" vertical="center" wrapText="1"/>
    </xf>
    <xf numFmtId="0" fontId="42" fillId="0" borderId="10" applyAlignment="1" pivotButton="0" quotePrefix="0" xfId="0">
      <alignment horizontal="left" vertical="center" wrapText="1" indent="4"/>
    </xf>
    <xf numFmtId="0" fontId="43" fillId="0" borderId="10" applyAlignment="1" pivotButton="0" quotePrefix="0" xfId="0">
      <alignment horizontal="left" vertical="center" wrapText="1" indent="7"/>
    </xf>
    <xf numFmtId="166" fontId="43" fillId="0" borderId="0" applyAlignment="1" pivotButton="0" quotePrefix="0" xfId="0">
      <alignment horizontal="center" vertical="center" wrapText="1"/>
    </xf>
    <xf numFmtId="166" fontId="43" fillId="0" borderId="11" applyAlignment="1" pivotButton="0" quotePrefix="0" xfId="0">
      <alignment horizontal="center" vertical="center" wrapText="1"/>
    </xf>
    <xf numFmtId="166" fontId="43" fillId="0" borderId="12" applyAlignment="1" pivotButton="0" quotePrefix="0" xfId="0">
      <alignment horizontal="center" vertical="center" wrapText="1"/>
    </xf>
    <xf numFmtId="0" fontId="47" fillId="0" borderId="12" applyAlignment="1" pivotButton="0" quotePrefix="0" xfId="0">
      <alignment horizontal="left" vertical="center" wrapText="1" indent="7"/>
    </xf>
    <xf numFmtId="0" fontId="47" fillId="0" borderId="11" applyAlignment="1" pivotButton="0" quotePrefix="0" xfId="0">
      <alignment horizontal="center" wrapText="1"/>
    </xf>
    <xf numFmtId="0" fontId="43" fillId="0" borderId="12" applyAlignment="1" pivotButton="0" quotePrefix="0" xfId="0">
      <alignment horizontal="left" vertical="center" wrapText="1" indent="7"/>
    </xf>
    <xf numFmtId="9" fontId="43" fillId="0" borderId="11" applyAlignment="1" pivotButton="0" quotePrefix="0" xfId="0">
      <alignment horizontal="center" vertical="center" wrapText="1"/>
    </xf>
    <xf numFmtId="170" fontId="43" fillId="0" borderId="0" applyAlignment="1" pivotButton="0" quotePrefix="0" xfId="3">
      <alignment horizontal="left"/>
    </xf>
    <xf numFmtId="0" fontId="52" fillId="0" borderId="13" applyAlignment="1" pivotButton="0" quotePrefix="0" xfId="0">
      <alignment horizontal="center" vertical="center" wrapText="1"/>
    </xf>
    <xf numFmtId="0" fontId="43" fillId="0" borderId="14" applyAlignment="1" pivotButton="0" quotePrefix="0" xfId="0">
      <alignment horizontal="left" vertical="center" wrapText="1"/>
    </xf>
    <xf numFmtId="0" fontId="45" fillId="0" borderId="14" pivotButton="0" quotePrefix="0" xfId="0"/>
    <xf numFmtId="166" fontId="43" fillId="0" borderId="15" applyAlignment="1" pivotButton="0" quotePrefix="0" xfId="0">
      <alignment horizontal="center" vertical="center" wrapText="1"/>
    </xf>
    <xf numFmtId="166" fontId="43" fillId="0" borderId="14" applyAlignment="1" pivotButton="0" quotePrefix="0" xfId="0">
      <alignment horizontal="center" vertical="center" wrapText="1"/>
    </xf>
    <xf numFmtId="166" fontId="43" fillId="0" borderId="16" applyAlignment="1" pivotButton="0" quotePrefix="0" xfId="0">
      <alignment horizontal="center" vertical="center" wrapText="1"/>
    </xf>
    <xf numFmtId="0" fontId="45" fillId="0" borderId="37" pivotButton="0" quotePrefix="0" xfId="0"/>
    <xf numFmtId="0" fontId="43" fillId="0" borderId="11" applyAlignment="1" pivotButton="0" quotePrefix="0" xfId="0">
      <alignment horizontal="left" vertical="center" wrapText="1" indent="4"/>
    </xf>
    <xf numFmtId="0" fontId="45" fillId="0" borderId="38" pivotButton="0" quotePrefix="0" xfId="0"/>
    <xf numFmtId="0" fontId="43" fillId="0" borderId="17" applyAlignment="1" pivotButton="0" quotePrefix="0" xfId="0">
      <alignment horizontal="left" vertical="center" wrapText="1"/>
    </xf>
    <xf numFmtId="0" fontId="45" fillId="0" borderId="17" pivotButton="0" quotePrefix="0" xfId="0"/>
    <xf numFmtId="166" fontId="43" fillId="0" borderId="18" applyAlignment="1" pivotButton="0" quotePrefix="0" xfId="0">
      <alignment horizontal="center" vertical="center" wrapText="1"/>
    </xf>
    <xf numFmtId="166" fontId="43" fillId="0" borderId="17" applyAlignment="1" pivotButton="0" quotePrefix="0" xfId="0">
      <alignment horizontal="center" vertical="center" wrapText="1"/>
    </xf>
    <xf numFmtId="166" fontId="43" fillId="0" borderId="19" applyAlignment="1" pivotButton="0" quotePrefix="0" xfId="0">
      <alignment horizontal="center" vertical="center" wrapText="1"/>
    </xf>
    <xf numFmtId="167" fontId="50" fillId="0" borderId="0" applyAlignment="1" pivotButton="0" quotePrefix="0" xfId="0">
      <alignment horizontal="center" vertical="center" wrapText="1"/>
    </xf>
    <xf numFmtId="167" fontId="50" fillId="0" borderId="11" applyAlignment="1" pivotButton="0" quotePrefix="0" xfId="0">
      <alignment horizontal="center" vertical="center" wrapText="1"/>
    </xf>
    <xf numFmtId="167" fontId="50" fillId="0" borderId="12" applyAlignment="1" pivotButton="0" quotePrefix="0" xfId="0">
      <alignment horizontal="center" vertical="center" wrapText="1"/>
    </xf>
    <xf numFmtId="0" fontId="50" fillId="0" borderId="20" applyAlignment="1" pivotButton="0" quotePrefix="0" xfId="0">
      <alignment horizontal="center" vertical="center" wrapText="1"/>
    </xf>
    <xf numFmtId="0" fontId="42" fillId="0" borderId="21" applyAlignment="1" pivotButton="0" quotePrefix="0" xfId="0">
      <alignment horizontal="left" vertical="center"/>
    </xf>
    <xf numFmtId="166" fontId="42" fillId="0" borderId="15" applyAlignment="1" pivotButton="0" quotePrefix="0" xfId="0">
      <alignment horizontal="center" vertical="center" wrapText="1"/>
    </xf>
    <xf numFmtId="166" fontId="42" fillId="0" borderId="14" applyAlignment="1" pivotButton="0" quotePrefix="0" xfId="0">
      <alignment horizontal="center" vertical="center" wrapText="1"/>
    </xf>
    <xf numFmtId="166" fontId="42" fillId="0" borderId="16" applyAlignment="1" pivotButton="0" quotePrefix="0" xfId="0">
      <alignment horizontal="center" vertical="center" wrapText="1"/>
    </xf>
    <xf numFmtId="0" fontId="42" fillId="0" borderId="22" applyAlignment="1" pivotButton="0" quotePrefix="0" xfId="0">
      <alignment horizontal="left" vertical="center" indent="4"/>
    </xf>
    <xf numFmtId="0" fontId="42" fillId="0" borderId="22" applyAlignment="1" pivotButton="0" quotePrefix="0" xfId="0">
      <alignment horizontal="left" vertical="center"/>
    </xf>
    <xf numFmtId="0" fontId="42" fillId="0" borderId="23" applyAlignment="1" pivotButton="0" quotePrefix="0" xfId="0">
      <alignment horizontal="left" vertical="center" wrapText="1"/>
    </xf>
    <xf numFmtId="165" fontId="42" fillId="0" borderId="1" applyAlignment="1" pivotButton="0" quotePrefix="0" xfId="0">
      <alignment horizontal="center" vertical="center" wrapText="1"/>
    </xf>
    <xf numFmtId="165" fontId="42" fillId="0" borderId="7" applyAlignment="1" pivotButton="0" quotePrefix="0" xfId="0">
      <alignment horizontal="center" vertical="center" wrapText="1"/>
    </xf>
    <xf numFmtId="165" fontId="42" fillId="0" borderId="6" applyAlignment="1" pivotButton="0" quotePrefix="0" xfId="0">
      <alignment horizontal="center" vertical="center" wrapText="1"/>
    </xf>
    <xf numFmtId="0" fontId="49" fillId="0" borderId="6" applyAlignment="1" pivotButton="0" quotePrefix="0" xfId="0">
      <alignment horizontal="left" vertical="center" wrapText="1"/>
    </xf>
    <xf numFmtId="0" fontId="49" fillId="0" borderId="1" applyAlignment="1" pivotButton="0" quotePrefix="0" xfId="0">
      <alignment horizontal="left" vertical="center" wrapText="1"/>
    </xf>
    <xf numFmtId="0" fontId="49" fillId="0" borderId="7" applyAlignment="1" pivotButton="0" quotePrefix="0" xfId="0">
      <alignment horizontal="left" vertical="center" wrapText="1"/>
    </xf>
    <xf numFmtId="165" fontId="50" fillId="0" borderId="0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165" fontId="50" fillId="0" borderId="12" applyAlignment="1" pivotButton="0" quotePrefix="0" xfId="0">
      <alignment horizontal="center" vertical="center" wrapText="1"/>
    </xf>
    <xf numFmtId="165" fontId="50" fillId="0" borderId="11" applyAlignment="1" pivotButton="0" quotePrefix="0" xfId="0">
      <alignment horizontal="center" vertical="center" wrapText="1"/>
    </xf>
    <xf numFmtId="0" fontId="49" fillId="0" borderId="24" applyAlignment="1" pivotButton="0" quotePrefix="0" xfId="0">
      <alignment horizontal="left" vertical="center" wrapText="1"/>
    </xf>
    <xf numFmtId="165" fontId="50" fillId="0" borderId="6" applyAlignment="1" pivotButton="0" quotePrefix="0" xfId="0">
      <alignment horizontal="center" vertical="center" wrapText="1"/>
    </xf>
    <xf numFmtId="165" fontId="50" fillId="0" borderId="1" applyAlignment="1" pivotButton="0" quotePrefix="0" xfId="0">
      <alignment horizontal="center" vertical="center" wrapText="1"/>
    </xf>
    <xf numFmtId="165" fontId="50" fillId="0" borderId="7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165" fontId="44" fillId="0" borderId="25" applyAlignment="1" pivotButton="0" quotePrefix="0" xfId="0">
      <alignment horizontal="center" vertical="center" wrapText="1"/>
    </xf>
    <xf numFmtId="0" fontId="45" fillId="0" borderId="35" pivotButton="0" quotePrefix="0" xfId="0"/>
    <xf numFmtId="0" fontId="45" fillId="0" borderId="36" pivotButton="0" quotePrefix="0" xfId="0"/>
    <xf numFmtId="165" fontId="42" fillId="0" borderId="12" applyAlignment="1" pivotButton="0" quotePrefix="0" xfId="0">
      <alignment horizontal="center" vertical="center" wrapText="1"/>
    </xf>
    <xf numFmtId="165" fontId="42" fillId="0" borderId="0" applyAlignment="1" pivotButton="0" quotePrefix="0" xfId="0">
      <alignment horizontal="center" vertical="center" wrapText="1"/>
    </xf>
    <xf numFmtId="165" fontId="42" fillId="0" borderId="11" applyAlignment="1" pivotButton="0" quotePrefix="0" xfId="0">
      <alignment horizontal="center" vertical="center" wrapText="1"/>
    </xf>
    <xf numFmtId="165" fontId="42" fillId="0" borderId="24" applyAlignment="1" pivotButton="0" quotePrefix="0" xfId="0">
      <alignment horizontal="center" vertical="center" wrapText="1"/>
    </xf>
    <xf numFmtId="0" fontId="51" fillId="0" borderId="24" applyAlignment="1" pivotButton="0" quotePrefix="0" xfId="0">
      <alignment horizontal="left" vertical="center" wrapText="1"/>
    </xf>
    <xf numFmtId="165" fontId="44" fillId="0" borderId="9" applyAlignment="1" pivotButton="0" quotePrefix="0" xfId="0">
      <alignment horizontal="center" vertical="center" wrapText="1"/>
    </xf>
    <xf numFmtId="0" fontId="50" fillId="0" borderId="24" applyAlignment="1" pivotButton="0" quotePrefix="0" xfId="0">
      <alignment horizontal="center" vertical="center" wrapText="1"/>
    </xf>
    <xf numFmtId="0" fontId="42" fillId="0" borderId="3" applyAlignment="1" pivotButton="0" quotePrefix="0" xfId="0">
      <alignment horizontal="left" vertical="center" wrapText="1"/>
    </xf>
    <xf numFmtId="166" fontId="42" fillId="0" borderId="3" applyAlignment="1" pivotButton="0" quotePrefix="0" xfId="0">
      <alignment horizontal="center" vertical="center" wrapText="1"/>
    </xf>
    <xf numFmtId="166" fontId="42" fillId="0" borderId="4" applyAlignment="1" pivotButton="0" quotePrefix="0" xfId="0">
      <alignment horizontal="center" vertical="center" wrapText="1"/>
    </xf>
    <xf numFmtId="166" fontId="42" fillId="0" borderId="5" applyAlignment="1" pivotButton="0" quotePrefix="0" xfId="0">
      <alignment horizontal="center" vertical="center" wrapText="1"/>
    </xf>
    <xf numFmtId="165" fontId="42" fillId="0" borderId="8" applyAlignment="1" pivotButton="0" quotePrefix="0" xfId="0">
      <alignment horizontal="center" vertical="center" wrapText="1"/>
    </xf>
    <xf numFmtId="0" fontId="45" fillId="0" borderId="10" pivotButton="0" quotePrefix="0" xfId="0"/>
    <xf numFmtId="0" fontId="42" fillId="0" borderId="12" applyAlignment="1" pivotButton="0" quotePrefix="0" xfId="0">
      <alignment horizontal="left" vertical="center" wrapText="1"/>
    </xf>
    <xf numFmtId="0" fontId="45" fillId="0" borderId="24" pivotButton="0" quotePrefix="0" xfId="0"/>
    <xf numFmtId="0" fontId="42" fillId="0" borderId="6" applyAlignment="1" pivotButton="0" quotePrefix="0" xfId="0">
      <alignment horizontal="left" vertical="center" wrapText="1"/>
    </xf>
    <xf numFmtId="166" fontId="42" fillId="0" borderId="6" applyAlignment="1" pivotButton="0" quotePrefix="0" xfId="0">
      <alignment horizontal="center" vertical="center" wrapText="1"/>
    </xf>
    <xf numFmtId="166" fontId="42" fillId="0" borderId="1" applyAlignment="1" pivotButton="0" quotePrefix="0" xfId="0">
      <alignment horizontal="center" vertical="center" wrapText="1"/>
    </xf>
    <xf numFmtId="166" fontId="42" fillId="0" borderId="7" applyAlignment="1" pivotButton="0" quotePrefix="0" xfId="0">
      <alignment horizontal="center" vertical="center" wrapText="1"/>
    </xf>
    <xf numFmtId="0" fontId="42" fillId="0" borderId="10" applyAlignment="1" pivotButton="0" quotePrefix="0" xfId="0">
      <alignment horizontal="left" wrapText="1"/>
    </xf>
    <xf numFmtId="0" fontId="43" fillId="0" borderId="12" applyAlignment="1" pivotButton="0" quotePrefix="0" xfId="0">
      <alignment horizontal="left" vertical="center" wrapText="1" indent="4"/>
    </xf>
    <xf numFmtId="0" fontId="42" fillId="0" borderId="24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50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wrapText="1"/>
    </xf>
    <xf numFmtId="0" fontId="52" fillId="0" borderId="0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/>
    </xf>
    <xf numFmtId="0" fontId="42" fillId="0" borderId="10" applyAlignment="1" pivotButton="0" quotePrefix="0" xfId="0">
      <alignment horizontal="left"/>
    </xf>
    <xf numFmtId="0" fontId="54" fillId="0" borderId="10" applyAlignment="1" pivotButton="0" quotePrefix="0" xfId="0">
      <alignment horizontal="left"/>
    </xf>
    <xf numFmtId="0" fontId="42" fillId="0" borderId="24" applyAlignment="1" pivotButton="0" quotePrefix="0" xfId="0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9F9FA"/>
      <rgbColor rgb="00CCFFFF"/>
      <rgbColor rgb="00660066"/>
      <rgbColor rgb="00FF8080"/>
      <rgbColor rgb="000070C0"/>
      <rgbColor rgb="00D5D5D6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6"/>
  <sheetViews>
    <sheetView showGridLines="0" tabSelected="1" workbookViewId="0">
      <pane ySplit="6" topLeftCell="A65" activePane="bottomLeft" state="frozen"/>
      <selection activeCell="A1" sqref="A1"/>
      <selection pane="bottomLeft" activeCell="A1" sqref="A1"/>
    </sheetView>
  </sheetViews>
  <sheetFormatPr baseColWidth="8" defaultColWidth="9" defaultRowHeight="14.5"/>
  <cols>
    <col width="2.57272727272727" customWidth="1" min="1" max="1"/>
    <col width="25.8545454545455" customWidth="1" min="2" max="2"/>
    <col width="41.1363636363636" customWidth="1" min="3" max="3"/>
    <col width="16.8545454545455" customWidth="1" min="4" max="4"/>
    <col width="14.8636363636364" customWidth="1" min="5" max="13"/>
    <col width="8.58181818181818" customWidth="1" min="14" max="14"/>
    <col width="16.4272727272727" customWidth="1" min="15" max="15"/>
    <col width="9.86363636363636" customWidth="1" min="16" max="16"/>
    <col width="8.58181818181818" customWidth="1" min="17" max="1025"/>
  </cols>
  <sheetData>
    <row r="1" ht="15" customHeight="1">
      <c r="A1" s="178" t="n"/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8" t="n"/>
      <c r="M1" s="178" t="n"/>
      <c r="N1" s="179" t="n"/>
      <c r="O1" s="178" t="n"/>
      <c r="P1" s="178" t="n"/>
    </row>
    <row r="2" ht="15" customHeight="1">
      <c r="A2" s="178" t="n"/>
      <c r="B2" s="180" t="inlineStr">
        <is>
          <t>ILPA Reporting Template (v. 1.1) - This packet was last updated on Oct. 17, 2016</t>
        </is>
      </c>
      <c r="C2" s="181" t="n"/>
      <c r="D2" s="181" t="n"/>
      <c r="E2" s="181" t="n"/>
      <c r="F2" s="181" t="n"/>
      <c r="G2" s="181" t="n"/>
      <c r="H2" s="181" t="n"/>
      <c r="I2" s="181" t="n"/>
      <c r="J2" s="181" t="n"/>
      <c r="K2" s="181" t="n"/>
      <c r="L2" s="181" t="n"/>
      <c r="M2" s="181" t="n"/>
      <c r="N2" s="179" t="n"/>
      <c r="O2" s="182" t="inlineStr">
        <is>
          <t>Inception Start:</t>
        </is>
      </c>
      <c r="P2" s="183" t="n"/>
    </row>
    <row r="3" ht="14.25" customHeight="1">
      <c r="A3" s="178" t="n"/>
      <c r="B3" s="184" t="inlineStr">
        <is>
          <t>Kelso Investment Associates VIII, L.P.</t>
        </is>
      </c>
      <c r="C3" s="185" t="n"/>
      <c r="D3" s="186" t="n"/>
      <c r="E3" s="187" t="inlineStr">
        <is>
          <t>QTD</t>
        </is>
      </c>
      <c r="F3" s="188" t="inlineStr">
        <is>
          <t>YTD</t>
        </is>
      </c>
      <c r="G3" s="189" t="inlineStr">
        <is>
          <t>Since Inception</t>
        </is>
      </c>
      <c r="H3" s="187" t="inlineStr">
        <is>
          <t>QTD</t>
        </is>
      </c>
      <c r="I3" s="188" t="inlineStr">
        <is>
          <t>YTD</t>
        </is>
      </c>
      <c r="J3" s="189" t="inlineStr">
        <is>
          <t>Since Inception</t>
        </is>
      </c>
      <c r="K3" s="187" t="inlineStr">
        <is>
          <t>QTD</t>
        </is>
      </c>
      <c r="L3" s="188" t="inlineStr">
        <is>
          <t>YTD</t>
        </is>
      </c>
      <c r="M3" s="189" t="inlineStr">
        <is>
          <t>Since Inception</t>
        </is>
      </c>
      <c r="N3" s="179" t="n"/>
      <c r="O3" s="190" t="inlineStr">
        <is>
          <t>Current Year Start:</t>
        </is>
      </c>
      <c r="P3" s="191" t="n"/>
    </row>
    <row r="4" ht="15" customHeight="1">
      <c r="A4" s="178" t="n"/>
      <c r="B4" s="192" t="n"/>
      <c r="C4" s="193" t="n"/>
      <c r="D4" s="194" t="n"/>
      <c r="E4" s="195">
        <f>P4</f>
        <v/>
      </c>
      <c r="F4" s="195">
        <f>P3</f>
        <v/>
      </c>
      <c r="G4" s="195">
        <f>P2</f>
        <v/>
      </c>
      <c r="H4" s="195">
        <f>P4</f>
        <v/>
      </c>
      <c r="I4" s="195">
        <f>P3</f>
        <v/>
      </c>
      <c r="J4" s="195">
        <f>P2</f>
        <v/>
      </c>
      <c r="K4" s="195">
        <f>P4</f>
        <v/>
      </c>
      <c r="L4" s="195">
        <f>P3</f>
        <v/>
      </c>
      <c r="M4" s="195">
        <f>P2</f>
        <v/>
      </c>
      <c r="N4" s="179" t="n"/>
      <c r="O4" s="196" t="inlineStr">
        <is>
          <t>Current Period Start:</t>
        </is>
      </c>
      <c r="P4" s="191" t="n"/>
    </row>
    <row r="5" ht="15" customHeight="1">
      <c r="A5" s="178" t="n"/>
      <c r="B5" s="197" t="n"/>
      <c r="C5" s="181" t="n"/>
      <c r="D5" s="198" t="n"/>
      <c r="E5" s="199">
        <f>$P$5</f>
        <v/>
      </c>
      <c r="F5" s="195">
        <f>$P$5</f>
        <v/>
      </c>
      <c r="G5" s="200">
        <f>$P$5</f>
        <v/>
      </c>
      <c r="H5" s="199">
        <f>$P$5</f>
        <v/>
      </c>
      <c r="I5" s="195">
        <f>$P$5</f>
        <v/>
      </c>
      <c r="J5" s="200">
        <f>$P$5</f>
        <v/>
      </c>
      <c r="K5" s="199">
        <f>$P$5</f>
        <v/>
      </c>
      <c r="L5" s="195">
        <f>$P$5</f>
        <v/>
      </c>
      <c r="M5" s="200">
        <f>$P$5</f>
        <v/>
      </c>
      <c r="N5" s="179" t="n"/>
      <c r="O5" s="201" t="inlineStr">
        <is>
          <t>Period End:</t>
        </is>
      </c>
      <c r="P5" s="202" t="n"/>
    </row>
    <row r="6" ht="15" customHeight="1">
      <c r="A6" s="178" t="n"/>
      <c r="B6" s="203" t="n"/>
      <c r="C6" s="204" t="n"/>
      <c r="D6" s="204" t="n"/>
      <c r="E6" s="204" t="n"/>
      <c r="F6" s="204" t="n"/>
      <c r="G6" s="204" t="n"/>
      <c r="H6" s="204" t="n"/>
      <c r="I6" s="204" t="n"/>
      <c r="J6" s="204" t="n"/>
      <c r="K6" s="204" t="n"/>
      <c r="L6" s="204" t="n"/>
      <c r="M6" s="204" t="n"/>
      <c r="N6" s="179" t="n"/>
      <c r="O6" s="178" t="n"/>
      <c r="P6" s="178" t="n"/>
    </row>
    <row r="7" ht="15" customHeight="1">
      <c r="A7" s="178" t="n"/>
      <c r="B7" s="205" t="inlineStr">
        <is>
          <t>A. Capital Account Statement for Investor Name</t>
        </is>
      </c>
      <c r="C7" s="193" t="n"/>
      <c r="D7" s="193" t="n"/>
      <c r="E7" s="193" t="n"/>
      <c r="F7" s="193" t="n"/>
      <c r="G7" s="193" t="n"/>
      <c r="H7" s="193" t="n"/>
      <c r="I7" s="193" t="n"/>
      <c r="J7" s="193" t="n"/>
      <c r="K7" s="193" t="n"/>
      <c r="L7" s="193" t="n"/>
      <c r="M7" s="193" t="n"/>
      <c r="N7" s="179" t="n"/>
      <c r="O7" s="178" t="n"/>
      <c r="P7" s="206" t="n"/>
    </row>
    <row r="8" ht="15" customHeight="1">
      <c r="A8" s="207" t="n"/>
      <c r="B8" s="208" t="inlineStr">
        <is>
          <t>A.1 NAV Reconciliation and Summary of Fees, Expenses &amp; Incentive Allocation</t>
        </is>
      </c>
      <c r="C8" s="209" t="n"/>
      <c r="D8" s="210" t="n"/>
      <c r="E8" s="211" t="inlineStr">
        <is>
          <t>Investor's Allocation of Total Fund</t>
        </is>
      </c>
      <c r="F8" s="209" t="n"/>
      <c r="G8" s="210" t="n"/>
      <c r="H8" s="212" t="inlineStr">
        <is>
          <t>Total Fund (incl. GP Allocation)</t>
        </is>
      </c>
      <c r="I8" s="209" t="n"/>
      <c r="J8" s="210" t="n"/>
      <c r="K8" s="212" t="inlineStr">
        <is>
          <t>GP's Allocation of Total Fund</t>
        </is>
      </c>
      <c r="L8" s="209" t="n"/>
      <c r="M8" s="210" t="n"/>
      <c r="N8" s="213" t="n"/>
      <c r="O8" s="207" t="n"/>
      <c r="P8" s="207" t="n"/>
    </row>
    <row r="9" ht="14.25" customHeight="1">
      <c r="A9" s="178" t="n"/>
      <c r="B9" s="214" t="inlineStr">
        <is>
          <t>Beginning NAV - Net of Incentive Allocation</t>
        </is>
      </c>
      <c r="C9" s="185" t="n"/>
      <c r="D9" s="186" t="n"/>
      <c r="E9" s="215" t="n">
        <v>0</v>
      </c>
      <c r="F9" s="215" t="n">
        <v>0</v>
      </c>
      <c r="G9" s="216" t="n">
        <v>0</v>
      </c>
      <c r="H9" s="217" t="n">
        <v>0</v>
      </c>
      <c r="I9" s="215" t="n">
        <v>0</v>
      </c>
      <c r="J9" s="216" t="n">
        <v>0</v>
      </c>
      <c r="K9" s="215" t="n">
        <v>0</v>
      </c>
      <c r="L9" s="215" t="n">
        <v>0</v>
      </c>
      <c r="M9" s="216" t="n">
        <v>0</v>
      </c>
      <c r="N9" s="218" t="n"/>
      <c r="O9" s="178" t="n"/>
      <c r="P9" s="178" t="n"/>
    </row>
    <row r="10" ht="14.25" customHeight="1">
      <c r="A10" s="178" t="n"/>
      <c r="B10" s="219" t="inlineStr">
        <is>
          <t>Contributions - Cash &amp; Non-Cash</t>
        </is>
      </c>
      <c r="C10" s="193" t="n"/>
      <c r="D10" s="194" t="n"/>
      <c r="E10" s="220" t="n">
        <v>0</v>
      </c>
      <c r="F10" s="220" t="n">
        <v>0</v>
      </c>
      <c r="G10" s="221" t="n">
        <v>0</v>
      </c>
      <c r="H10" s="222" t="n">
        <v>0</v>
      </c>
      <c r="I10" s="220" t="n">
        <v>0</v>
      </c>
      <c r="J10" s="221" t="n">
        <v>0</v>
      </c>
      <c r="K10" s="220" t="n">
        <v>0</v>
      </c>
      <c r="L10" s="220" t="n">
        <v>0</v>
      </c>
      <c r="M10" s="221" t="n">
        <v>0</v>
      </c>
      <c r="N10" s="179" t="n"/>
      <c r="O10" s="178" t="n"/>
      <c r="P10" s="178" t="n"/>
    </row>
    <row r="11" ht="14.25" customHeight="1">
      <c r="A11" s="178" t="n"/>
      <c r="B11" s="219" t="inlineStr">
        <is>
          <t>Distributions - Cash &amp; Non-Cash (input positive values)</t>
        </is>
      </c>
      <c r="C11" s="193" t="n"/>
      <c r="D11" s="194" t="n"/>
      <c r="E11" s="223" t="n">
        <v>0</v>
      </c>
      <c r="F11" s="223" t="n">
        <v>0</v>
      </c>
      <c r="G11" s="224" t="n">
        <v>0</v>
      </c>
      <c r="H11" s="222" t="n">
        <v>0</v>
      </c>
      <c r="I11" s="220" t="n">
        <v>0</v>
      </c>
      <c r="J11" s="221" t="n">
        <v>0</v>
      </c>
      <c r="K11" s="223" t="n">
        <v>0</v>
      </c>
      <c r="L11" s="223" t="n">
        <v>0</v>
      </c>
      <c r="M11" s="224" t="n">
        <v>0</v>
      </c>
      <c r="N11" s="179" t="n"/>
      <c r="O11" s="178" t="n"/>
      <c r="P11" s="178" t="n"/>
    </row>
    <row r="12" ht="14.25" customHeight="1">
      <c r="A12" s="178" t="n"/>
      <c r="B12" s="225" t="inlineStr">
        <is>
          <t>Total Cash / Non-Cash Flows (contributions, less distributions)</t>
        </is>
      </c>
      <c r="C12" s="193" t="n"/>
      <c r="D12" s="194" t="n"/>
      <c r="E12" s="226">
        <f>E10-E11</f>
        <v/>
      </c>
      <c r="F12" s="226">
        <f>F10-F11</f>
        <v/>
      </c>
      <c r="G12" s="227">
        <f>G10-G11</f>
        <v/>
      </c>
      <c r="H12" s="228">
        <f>H10-H11</f>
        <v/>
      </c>
      <c r="I12" s="226">
        <f>I10-I11</f>
        <v/>
      </c>
      <c r="J12" s="227">
        <f>J10-J11</f>
        <v/>
      </c>
      <c r="K12" s="226">
        <f>K10-K11</f>
        <v/>
      </c>
      <c r="L12" s="226">
        <f>L10-L11</f>
        <v/>
      </c>
      <c r="M12" s="227">
        <f>M10-M11</f>
        <v/>
      </c>
      <c r="N12" s="179" t="n"/>
      <c r="O12" s="178" t="n"/>
      <c r="P12" s="178" t="n"/>
    </row>
    <row r="13" ht="14.25" customHeight="1">
      <c r="A13" s="178" t="n"/>
      <c r="B13" s="229" t="inlineStr">
        <is>
          <t>Net Operating Income (Expense):</t>
        </is>
      </c>
      <c r="C13" s="193" t="n"/>
      <c r="D13" s="194" t="n"/>
      <c r="E13" s="230" t="n"/>
      <c r="F13" s="193" t="n"/>
      <c r="G13" s="194" t="n"/>
      <c r="H13" s="230" t="n"/>
      <c r="I13" s="193" t="n"/>
      <c r="J13" s="194" t="n"/>
      <c r="K13" s="230" t="n"/>
      <c r="L13" s="193" t="n"/>
      <c r="M13" s="194" t="n"/>
      <c r="N13" s="179" t="n"/>
      <c r="O13" s="178" t="n"/>
      <c r="P13" s="178" t="n"/>
    </row>
    <row r="14" ht="14.25" customHeight="1">
      <c r="A14" s="178" t="n"/>
      <c r="B14" s="231" t="inlineStr">
        <is>
          <t>(Management Fees – Gross of Offsets, Waivers &amp; Rebates):</t>
        </is>
      </c>
      <c r="C14" s="193" t="n"/>
      <c r="D14" s="194" t="n"/>
      <c r="E14" s="220" t="n">
        <v>0</v>
      </c>
      <c r="F14" s="220" t="n">
        <v>0</v>
      </c>
      <c r="G14" s="221" t="n">
        <v>0</v>
      </c>
      <c r="H14" s="222" t="n">
        <v>0</v>
      </c>
      <c r="I14" s="220" t="n">
        <v>0</v>
      </c>
      <c r="J14" s="221" t="n">
        <v>0</v>
      </c>
      <c r="K14" s="220" t="n">
        <v>0</v>
      </c>
      <c r="L14" s="220" t="n">
        <v>0</v>
      </c>
      <c r="M14" s="221" t="n">
        <v>0</v>
      </c>
      <c r="N14" s="179" t="n"/>
      <c r="O14" s="178" t="n"/>
      <c r="P14" s="178" t="n"/>
    </row>
    <row r="15" ht="14.25" customHeight="1">
      <c r="A15" s="178" t="n"/>
      <c r="B15" s="231" t="inlineStr">
        <is>
          <t>Management Fee Rebate</t>
        </is>
      </c>
      <c r="C15" s="193" t="n"/>
      <c r="D15" s="194" t="n"/>
      <c r="E15" s="220" t="n">
        <v>0</v>
      </c>
      <c r="F15" s="220" t="n">
        <v>0</v>
      </c>
      <c r="G15" s="221" t="n">
        <v>0</v>
      </c>
      <c r="H15" s="222" t="n">
        <v>0</v>
      </c>
      <c r="I15" s="220" t="n">
        <v>0</v>
      </c>
      <c r="J15" s="221" t="n">
        <v>0</v>
      </c>
      <c r="K15" s="220" t="n">
        <v>0</v>
      </c>
      <c r="L15" s="220" t="n">
        <v>0</v>
      </c>
      <c r="M15" s="221" t="n">
        <v>0</v>
      </c>
      <c r="N15" s="179" t="n"/>
      <c r="O15" s="178" t="n"/>
      <c r="P15" s="178" t="n"/>
    </row>
    <row r="16" ht="14.25" customHeight="1">
      <c r="A16" s="178" t="n"/>
      <c r="B16" s="231" t="inlineStr">
        <is>
          <t>(Partnership Expenses - Total):</t>
        </is>
      </c>
      <c r="C16" s="193" t="n"/>
      <c r="D16" s="194" t="n"/>
      <c r="E16" s="220">
        <f>SUM(E17:E25)</f>
        <v/>
      </c>
      <c r="F16" s="220">
        <f>SUM(F17:F25)</f>
        <v/>
      </c>
      <c r="G16" s="221">
        <f>SUM(G17:G25)</f>
        <v/>
      </c>
      <c r="H16" s="222">
        <f>SUM(H17:H25)</f>
        <v/>
      </c>
      <c r="I16" s="220">
        <f>SUM(I17:I25)</f>
        <v/>
      </c>
      <c r="J16" s="221">
        <f>SUM(J17:J25)</f>
        <v/>
      </c>
      <c r="K16" s="220">
        <f>SUM(K17:K25)</f>
        <v/>
      </c>
      <c r="L16" s="220">
        <f>SUM(L17:L25)</f>
        <v/>
      </c>
      <c r="M16" s="221">
        <f>SUM(M17:M25)</f>
        <v/>
      </c>
      <c r="N16" s="179" t="n"/>
      <c r="O16" s="178" t="n"/>
      <c r="P16" s="178" t="n"/>
    </row>
    <row r="17" ht="14.25" customHeight="1">
      <c r="A17" s="178" t="n"/>
      <c r="B17" s="232" t="inlineStr">
        <is>
          <t>(Partnership Expenses – Accounting, Administration &amp; IT)</t>
        </is>
      </c>
      <c r="C17" s="193" t="n"/>
      <c r="D17" s="194" t="n"/>
      <c r="E17" s="233" t="n">
        <v>0</v>
      </c>
      <c r="F17" s="233" t="n">
        <v>0</v>
      </c>
      <c r="G17" s="234" t="n">
        <v>0</v>
      </c>
      <c r="H17" s="235" t="n">
        <v>0</v>
      </c>
      <c r="I17" s="233" t="n">
        <v>0</v>
      </c>
      <c r="J17" s="234" t="n">
        <v>0</v>
      </c>
      <c r="K17" s="233" t="n">
        <v>0</v>
      </c>
      <c r="L17" s="233" t="n">
        <v>0</v>
      </c>
      <c r="M17" s="234" t="n">
        <v>0</v>
      </c>
      <c r="N17" s="179" t="n"/>
      <c r="O17" s="178" t="n"/>
      <c r="P17" s="178" t="n"/>
    </row>
    <row r="18" ht="14.25" customHeight="1">
      <c r="A18" s="178" t="n"/>
      <c r="B18" s="232" t="inlineStr">
        <is>
          <t>(Partnership Expenses – Audit &amp; Tax Preparatory)</t>
        </is>
      </c>
      <c r="C18" s="193" t="n"/>
      <c r="D18" s="194" t="n"/>
      <c r="E18" s="233" t="n">
        <v>0</v>
      </c>
      <c r="F18" s="233" t="n">
        <v>0</v>
      </c>
      <c r="G18" s="234" t="n">
        <v>0</v>
      </c>
      <c r="H18" s="235" t="n">
        <v>0</v>
      </c>
      <c r="I18" s="233" t="n">
        <v>0</v>
      </c>
      <c r="J18" s="234" t="n">
        <v>0</v>
      </c>
      <c r="K18" s="233" t="n">
        <v>0</v>
      </c>
      <c r="L18" s="233" t="n">
        <v>0</v>
      </c>
      <c r="M18" s="234" t="n">
        <v>0</v>
      </c>
      <c r="N18" s="179" t="n"/>
      <c r="O18" s="178" t="n"/>
      <c r="P18" s="178" t="n"/>
    </row>
    <row r="19" ht="14.25" customHeight="1">
      <c r="A19" s="178" t="n"/>
      <c r="B19" s="232" t="inlineStr">
        <is>
          <t>(Partnership Expenses – Bank Fees)</t>
        </is>
      </c>
      <c r="C19" s="193" t="n"/>
      <c r="D19" s="194" t="n"/>
      <c r="E19" s="233" t="n">
        <v>0</v>
      </c>
      <c r="F19" s="233" t="n">
        <v>0</v>
      </c>
      <c r="G19" s="234" t="n">
        <v>0</v>
      </c>
      <c r="H19" s="235" t="n">
        <v>0</v>
      </c>
      <c r="I19" s="233" t="n">
        <v>0</v>
      </c>
      <c r="J19" s="234" t="n">
        <v>0</v>
      </c>
      <c r="K19" s="233" t="n">
        <v>0</v>
      </c>
      <c r="L19" s="233" t="n">
        <v>0</v>
      </c>
      <c r="M19" s="234" t="n">
        <v>0</v>
      </c>
      <c r="N19" s="179" t="n"/>
      <c r="O19" s="178" t="n"/>
      <c r="P19" s="178" t="n"/>
    </row>
    <row r="20" ht="14.25" customHeight="1">
      <c r="A20" s="178" t="n"/>
      <c r="B20" s="232" t="inlineStr">
        <is>
          <t>(Partnership Expenses – Custody Fees)</t>
        </is>
      </c>
      <c r="C20" s="193" t="n"/>
      <c r="D20" s="194" t="n"/>
      <c r="E20" s="233" t="n">
        <v>0</v>
      </c>
      <c r="F20" s="233" t="n">
        <v>0</v>
      </c>
      <c r="G20" s="234" t="n">
        <v>0</v>
      </c>
      <c r="H20" s="235" t="n">
        <v>0</v>
      </c>
      <c r="I20" s="233" t="n">
        <v>0</v>
      </c>
      <c r="J20" s="234" t="n">
        <v>0</v>
      </c>
      <c r="K20" s="233" t="n">
        <v>0</v>
      </c>
      <c r="L20" s="233" t="n">
        <v>0</v>
      </c>
      <c r="M20" s="234" t="n">
        <v>0</v>
      </c>
      <c r="N20" s="179" t="n"/>
      <c r="O20" s="178" t="n"/>
      <c r="P20" s="178" t="n"/>
    </row>
    <row r="21" ht="14.25" customHeight="1">
      <c r="A21" s="178" t="n"/>
      <c r="B21" s="232" t="inlineStr">
        <is>
          <t>(Partnership Expenses – Due Diligence)</t>
        </is>
      </c>
      <c r="C21" s="193" t="n"/>
      <c r="D21" s="194" t="n"/>
      <c r="E21" s="233" t="n">
        <v>0</v>
      </c>
      <c r="F21" s="233" t="n">
        <v>0</v>
      </c>
      <c r="G21" s="234" t="n">
        <v>0</v>
      </c>
      <c r="H21" s="235" t="n">
        <v>0</v>
      </c>
      <c r="I21" s="233" t="n">
        <v>0</v>
      </c>
      <c r="J21" s="234" t="n">
        <v>0</v>
      </c>
      <c r="K21" s="233" t="n">
        <v>0</v>
      </c>
      <c r="L21" s="233" t="n">
        <v>0</v>
      </c>
      <c r="M21" s="234" t="n">
        <v>0</v>
      </c>
      <c r="N21" s="179" t="n"/>
      <c r="O21" s="178" t="n"/>
      <c r="P21" s="178" t="n"/>
    </row>
    <row r="22" ht="14.25" customHeight="1">
      <c r="A22" s="178" t="n"/>
      <c r="B22" s="232" t="inlineStr">
        <is>
          <t>(Partnership Expenses – Legal)</t>
        </is>
      </c>
      <c r="C22" s="193" t="n"/>
      <c r="D22" s="194" t="n"/>
      <c r="E22" s="233" t="n">
        <v>0</v>
      </c>
      <c r="F22" s="233" t="n">
        <v>0</v>
      </c>
      <c r="G22" s="234" t="n">
        <v>0</v>
      </c>
      <c r="H22" s="235" t="n">
        <v>0</v>
      </c>
      <c r="I22" s="233" t="n">
        <v>0</v>
      </c>
      <c r="J22" s="234" t="n">
        <v>0</v>
      </c>
      <c r="K22" s="233" t="n">
        <v>0</v>
      </c>
      <c r="L22" s="233" t="n">
        <v>0</v>
      </c>
      <c r="M22" s="234" t="n">
        <v>0</v>
      </c>
      <c r="N22" s="179" t="n"/>
      <c r="O22" s="178" t="n"/>
      <c r="P22" s="178" t="n"/>
    </row>
    <row r="23" ht="14.25" customHeight="1">
      <c r="A23" s="178" t="n"/>
      <c r="B23" s="232" t="inlineStr">
        <is>
          <t>(Partnership Expenses – Organization Costs)</t>
        </is>
      </c>
      <c r="C23" s="193" t="n"/>
      <c r="D23" s="194" t="n"/>
      <c r="E23" s="233" t="n">
        <v>0</v>
      </c>
      <c r="F23" s="233" t="n">
        <v>0</v>
      </c>
      <c r="G23" s="234" t="n">
        <v>0</v>
      </c>
      <c r="H23" s="235" t="n">
        <v>0</v>
      </c>
      <c r="I23" s="233" t="n">
        <v>0</v>
      </c>
      <c r="J23" s="234" t="n">
        <v>0</v>
      </c>
      <c r="K23" s="233" t="n">
        <v>0</v>
      </c>
      <c r="L23" s="233" t="n">
        <v>0</v>
      </c>
      <c r="M23" s="234" t="n">
        <v>0</v>
      </c>
      <c r="N23" s="179" t="n"/>
      <c r="O23" s="178" t="n"/>
      <c r="P23" s="178" t="n"/>
    </row>
    <row r="24" ht="14.25" customHeight="1">
      <c r="A24" s="178" t="n"/>
      <c r="B24" s="232" t="inlineStr">
        <is>
          <t>(Partnership Expenses – Other Travel &amp; Entertainment)</t>
        </is>
      </c>
      <c r="C24" s="193" t="n"/>
      <c r="D24" s="194" t="n"/>
      <c r="E24" s="233" t="n">
        <v>0</v>
      </c>
      <c r="F24" s="233" t="n">
        <v>0</v>
      </c>
      <c r="G24" s="234" t="n">
        <v>0</v>
      </c>
      <c r="H24" s="235" t="n">
        <v>0</v>
      </c>
      <c r="I24" s="233" t="n">
        <v>0</v>
      </c>
      <c r="J24" s="234" t="n">
        <v>0</v>
      </c>
      <c r="K24" s="233" t="n">
        <v>0</v>
      </c>
      <c r="L24" s="233" t="n">
        <v>0</v>
      </c>
      <c r="M24" s="234" t="n">
        <v>0</v>
      </c>
      <c r="N24" s="179" t="n"/>
      <c r="O24" s="178" t="n"/>
      <c r="P24" s="178" t="n"/>
    </row>
    <row r="25" ht="14.25" customHeight="1">
      <c r="A25" s="178" t="n"/>
      <c r="B25" s="232" t="inlineStr">
        <is>
          <t>(Partnership Expenses – Other+)</t>
        </is>
      </c>
      <c r="C25" s="193" t="n"/>
      <c r="D25" s="194" t="n"/>
      <c r="E25" s="233" t="n">
        <v>0</v>
      </c>
      <c r="F25" s="233" t="n">
        <v>0</v>
      </c>
      <c r="G25" s="234" t="n">
        <v>0</v>
      </c>
      <c r="H25" s="235" t="n">
        <v>0</v>
      </c>
      <c r="I25" s="233" t="n">
        <v>0</v>
      </c>
      <c r="J25" s="234" t="n">
        <v>0</v>
      </c>
      <c r="K25" s="233" t="n">
        <v>0</v>
      </c>
      <c r="L25" s="233" t="n">
        <v>0</v>
      </c>
      <c r="M25" s="234" t="n">
        <v>0</v>
      </c>
      <c r="N25" s="179" t="n"/>
      <c r="O25" s="178" t="n"/>
      <c r="P25" s="178" t="n"/>
    </row>
    <row r="26" ht="14.25" customHeight="1">
      <c r="A26" s="178" t="n"/>
      <c r="B26" s="231" t="inlineStr">
        <is>
          <t>Total Offsets to Fees &amp; Expenses (applied during period):</t>
        </is>
      </c>
      <c r="C26" s="193" t="n"/>
      <c r="D26" s="194" t="n"/>
      <c r="E26" s="220" t="n">
        <v>0</v>
      </c>
      <c r="F26" s="220" t="n">
        <v>0</v>
      </c>
      <c r="G26" s="221" t="n">
        <v>0</v>
      </c>
      <c r="H26" s="222" t="n">
        <v>0</v>
      </c>
      <c r="I26" s="220" t="n">
        <v>0</v>
      </c>
      <c r="J26" s="221" t="n">
        <v>0</v>
      </c>
      <c r="K26" s="220" t="n">
        <v>0</v>
      </c>
      <c r="L26" s="220" t="n">
        <v>0</v>
      </c>
      <c r="M26" s="221" t="n">
        <v>0</v>
      </c>
      <c r="N26" s="179" t="n"/>
      <c r="O26" s="178" t="n"/>
      <c r="P26" s="178" t="n"/>
    </row>
    <row r="27" ht="36" customHeight="1">
      <c r="A27" s="178" t="n"/>
      <c r="B27" s="236" t="inlineStr">
        <is>
          <t>Offset Categories</t>
        </is>
      </c>
      <c r="C27" s="193" t="n"/>
      <c r="D27" s="237" t="inlineStr">
        <is>
          <t>% Offset to Investor</t>
        </is>
      </c>
      <c r="E27" s="220" t="n"/>
      <c r="F27" s="220" t="n"/>
      <c r="G27" s="221" t="n"/>
      <c r="H27" s="222" t="n"/>
      <c r="I27" s="220" t="n"/>
      <c r="J27" s="221" t="n"/>
      <c r="K27" s="221" t="n"/>
      <c r="L27" s="193" t="n"/>
      <c r="M27" s="194" t="n"/>
      <c r="N27" s="179" t="n"/>
      <c r="O27" s="178" t="n"/>
      <c r="P27" s="178" t="n"/>
    </row>
    <row r="28" ht="14.25" customHeight="1">
      <c r="A28" s="178" t="n"/>
      <c r="B28" s="238" t="inlineStr">
        <is>
          <t>Advisory Fee Offset</t>
        </is>
      </c>
      <c r="C28" s="193" t="n"/>
      <c r="D28" s="239" t="n">
        <v>0</v>
      </c>
      <c r="E28" s="233" t="n">
        <v>0</v>
      </c>
      <c r="F28" s="233" t="n">
        <v>0</v>
      </c>
      <c r="G28" s="233" t="n">
        <v>0</v>
      </c>
      <c r="H28" s="235" t="n">
        <v>0</v>
      </c>
      <c r="I28" s="233" t="n">
        <v>0</v>
      </c>
      <c r="J28" s="234" t="n">
        <v>0</v>
      </c>
      <c r="K28" s="233" t="n">
        <v>0</v>
      </c>
      <c r="L28" s="233" t="n">
        <v>0</v>
      </c>
      <c r="M28" s="234" t="n">
        <v>0</v>
      </c>
      <c r="N28" s="179" t="n"/>
      <c r="O28" s="178" t="n"/>
      <c r="P28" s="178" t="n"/>
    </row>
    <row r="29" ht="14.25" customHeight="1">
      <c r="A29" s="178" t="n"/>
      <c r="B29" s="238" t="inlineStr">
        <is>
          <t>Broken Deal Fee Offset</t>
        </is>
      </c>
      <c r="C29" s="193" t="n"/>
      <c r="D29" s="239" t="n">
        <v>0</v>
      </c>
      <c r="E29" s="233" t="n">
        <v>0</v>
      </c>
      <c r="F29" s="233" t="n">
        <v>0</v>
      </c>
      <c r="G29" s="234" t="n">
        <v>0</v>
      </c>
      <c r="H29" s="235" t="n">
        <v>0</v>
      </c>
      <c r="I29" s="233" t="n">
        <v>0</v>
      </c>
      <c r="J29" s="234" t="n">
        <v>0</v>
      </c>
      <c r="K29" s="233" t="n">
        <v>0</v>
      </c>
      <c r="L29" s="233" t="n">
        <v>0</v>
      </c>
      <c r="M29" s="234" t="n">
        <v>0</v>
      </c>
      <c r="N29" s="179" t="n"/>
      <c r="O29" s="178" t="n"/>
      <c r="P29" s="178" t="n"/>
    </row>
    <row r="30" ht="14.25" customHeight="1">
      <c r="A30" s="178" t="n"/>
      <c r="B30" s="238" t="inlineStr">
        <is>
          <t>Transaction &amp; Deal Fee Offset</t>
        </is>
      </c>
      <c r="C30" s="193" t="n"/>
      <c r="D30" s="239" t="n">
        <v>0</v>
      </c>
      <c r="E30" s="233" t="n">
        <v>0</v>
      </c>
      <c r="F30" s="233" t="n">
        <v>0</v>
      </c>
      <c r="G30" s="234" t="n">
        <v>0</v>
      </c>
      <c r="H30" s="235" t="n">
        <v>0</v>
      </c>
      <c r="I30" s="233" t="n">
        <v>0</v>
      </c>
      <c r="J30" s="234" t="n">
        <v>0</v>
      </c>
      <c r="K30" s="233" t="n">
        <v>0</v>
      </c>
      <c r="L30" s="233" t="n">
        <v>0</v>
      </c>
      <c r="M30" s="234" t="n">
        <v>0</v>
      </c>
      <c r="N30" s="179" t="n"/>
      <c r="O30" s="178" t="n"/>
      <c r="P30" s="178" t="n"/>
    </row>
    <row r="31" ht="14.25" customHeight="1">
      <c r="A31" s="178" t="n"/>
      <c r="B31" s="238" t="inlineStr">
        <is>
          <t>Directors Fee Offset</t>
        </is>
      </c>
      <c r="C31" s="193" t="n"/>
      <c r="D31" s="239" t="n">
        <v>0</v>
      </c>
      <c r="E31" s="233" t="n">
        <v>0</v>
      </c>
      <c r="F31" s="233" t="n">
        <v>0</v>
      </c>
      <c r="G31" s="234" t="n">
        <v>0</v>
      </c>
      <c r="H31" s="235" t="n">
        <v>0</v>
      </c>
      <c r="I31" s="233" t="n">
        <v>0</v>
      </c>
      <c r="J31" s="234" t="n">
        <v>0</v>
      </c>
      <c r="K31" s="233" t="n">
        <v>0</v>
      </c>
      <c r="L31" s="233" t="n">
        <v>0</v>
      </c>
      <c r="M31" s="234" t="n">
        <v>0</v>
      </c>
      <c r="N31" s="240" t="n"/>
      <c r="O31" s="178" t="n"/>
      <c r="P31" s="178" t="n"/>
    </row>
    <row r="32" ht="14.25" customHeight="1">
      <c r="A32" s="178" t="n"/>
      <c r="B32" s="238" t="inlineStr">
        <is>
          <t>Monitoring Fee Offset</t>
        </is>
      </c>
      <c r="C32" s="193" t="n"/>
      <c r="D32" s="239" t="n">
        <v>0</v>
      </c>
      <c r="E32" s="233" t="n">
        <v>0</v>
      </c>
      <c r="F32" s="233" t="n">
        <v>0</v>
      </c>
      <c r="G32" s="234" t="n">
        <v>0</v>
      </c>
      <c r="H32" s="235" t="n">
        <v>0</v>
      </c>
      <c r="I32" s="233" t="n">
        <v>0</v>
      </c>
      <c r="J32" s="234" t="n">
        <v>0</v>
      </c>
      <c r="K32" s="233" t="n">
        <v>0</v>
      </c>
      <c r="L32" s="233" t="n">
        <v>0</v>
      </c>
      <c r="M32" s="234" t="n">
        <v>0</v>
      </c>
      <c r="N32" s="179" t="n"/>
      <c r="O32" s="178" t="n"/>
      <c r="P32" s="178" t="n"/>
    </row>
    <row r="33" ht="14.25" customHeight="1">
      <c r="A33" s="178" t="n"/>
      <c r="B33" s="238" t="inlineStr">
        <is>
          <t>Capital Markets Fee Offset</t>
        </is>
      </c>
      <c r="C33" s="193" t="n"/>
      <c r="D33" s="239" t="n">
        <v>0</v>
      </c>
      <c r="E33" s="233" t="n">
        <v>0</v>
      </c>
      <c r="F33" s="233" t="n">
        <v>0</v>
      </c>
      <c r="G33" s="234" t="n">
        <v>0</v>
      </c>
      <c r="H33" s="235" t="n">
        <v>0</v>
      </c>
      <c r="I33" s="233" t="n">
        <v>0</v>
      </c>
      <c r="J33" s="234" t="n">
        <v>0</v>
      </c>
      <c r="K33" s="233" t="n">
        <v>0</v>
      </c>
      <c r="L33" s="233" t="n">
        <v>0</v>
      </c>
      <c r="M33" s="234" t="n">
        <v>0</v>
      </c>
      <c r="N33" s="179" t="n"/>
      <c r="O33" s="178" t="n"/>
      <c r="P33" s="178" t="n"/>
    </row>
    <row r="34" ht="14.25" customHeight="1">
      <c r="A34" s="178" t="n"/>
      <c r="B34" s="238" t="inlineStr">
        <is>
          <t>Organization Cost Offset</t>
        </is>
      </c>
      <c r="C34" s="193" t="n"/>
      <c r="D34" s="239" t="n">
        <v>0</v>
      </c>
      <c r="E34" s="233" t="n">
        <v>0</v>
      </c>
      <c r="F34" s="233" t="n">
        <v>0</v>
      </c>
      <c r="G34" s="234" t="n">
        <v>0</v>
      </c>
      <c r="H34" s="235" t="n">
        <v>0</v>
      </c>
      <c r="I34" s="233" t="n">
        <v>0</v>
      </c>
      <c r="J34" s="234" t="n">
        <v>0</v>
      </c>
      <c r="K34" s="233" t="n">
        <v>0</v>
      </c>
      <c r="L34" s="233" t="n">
        <v>0</v>
      </c>
      <c r="M34" s="234" t="n">
        <v>0</v>
      </c>
      <c r="N34" s="179" t="n"/>
      <c r="O34" s="178" t="n"/>
      <c r="P34" s="178" t="n"/>
    </row>
    <row r="35" ht="14.25" customHeight="1">
      <c r="A35" s="178" t="n"/>
      <c r="B35" s="238" t="inlineStr">
        <is>
          <t>Placement Fee Offset</t>
        </is>
      </c>
      <c r="C35" s="193" t="n"/>
      <c r="D35" s="239" t="n">
        <v>0</v>
      </c>
      <c r="E35" s="233" t="n">
        <v>0</v>
      </c>
      <c r="F35" s="233" t="n">
        <v>0</v>
      </c>
      <c r="G35" s="234" t="n">
        <v>0</v>
      </c>
      <c r="H35" s="235" t="n">
        <v>0</v>
      </c>
      <c r="I35" s="233" t="n">
        <v>0</v>
      </c>
      <c r="J35" s="234" t="n">
        <v>0</v>
      </c>
      <c r="K35" s="233" t="n">
        <v>0</v>
      </c>
      <c r="L35" s="233" t="n">
        <v>0</v>
      </c>
      <c r="M35" s="234" t="n">
        <v>0</v>
      </c>
      <c r="N35" s="179" t="n"/>
      <c r="O35" s="178" t="n"/>
      <c r="P35" s="178" t="n"/>
    </row>
    <row r="36" ht="14.25" customHeight="1">
      <c r="A36" s="178" t="n"/>
      <c r="B36" s="238" t="inlineStr">
        <is>
          <t>Other Offset+</t>
        </is>
      </c>
      <c r="C36" s="193" t="n"/>
      <c r="D36" s="239" t="n">
        <v>0</v>
      </c>
      <c r="E36" s="233" t="n">
        <v>0</v>
      </c>
      <c r="F36" s="233" t="n">
        <v>0</v>
      </c>
      <c r="G36" s="234" t="n">
        <v>0</v>
      </c>
      <c r="H36" s="235" t="n">
        <v>0</v>
      </c>
      <c r="I36" s="233" t="n">
        <v>0</v>
      </c>
      <c r="J36" s="234" t="n">
        <v>0</v>
      </c>
      <c r="K36" s="233" t="n">
        <v>0</v>
      </c>
      <c r="L36" s="233" t="n">
        <v>0</v>
      </c>
      <c r="M36" s="234" t="n">
        <v>0</v>
      </c>
      <c r="N36" s="179" t="n"/>
      <c r="O36" s="178" t="n"/>
      <c r="P36" s="178" t="n"/>
    </row>
    <row r="37" ht="14.25" customHeight="1">
      <c r="A37" s="178" t="n"/>
      <c r="B37" s="241" t="inlineStr">
        <is>
          <t>Reconciliation for Unapplied Offset Balance (Roll-forward)</t>
        </is>
      </c>
      <c r="C37" s="242" t="inlineStr">
        <is>
          <t>Unapplied Offset Balance (Roll-forward) - Beginning Balance</t>
        </is>
      </c>
      <c r="D37" s="243" t="n"/>
      <c r="E37" s="244" t="n">
        <v>0</v>
      </c>
      <c r="F37" s="244" t="n">
        <v>0</v>
      </c>
      <c r="G37" s="245" t="n">
        <v>0</v>
      </c>
      <c r="H37" s="246" t="n">
        <v>0</v>
      </c>
      <c r="I37" s="244" t="n">
        <v>0</v>
      </c>
      <c r="J37" s="245" t="n">
        <v>0</v>
      </c>
      <c r="K37" s="244" t="n">
        <v>0</v>
      </c>
      <c r="L37" s="244" t="n">
        <v>0</v>
      </c>
      <c r="M37" s="245" t="n">
        <v>0</v>
      </c>
      <c r="N37" s="179" t="n"/>
      <c r="O37" s="178" t="n"/>
      <c r="P37" s="178" t="n"/>
    </row>
    <row r="38" ht="14.25" customHeight="1">
      <c r="A38" s="178" t="n"/>
      <c r="B38" s="247" t="n"/>
      <c r="C38" s="248" t="inlineStr">
        <is>
          <t>Plus: Total Offsets to Fees &amp; Expenses (recognized during period)</t>
        </is>
      </c>
      <c r="D38" s="194" t="n"/>
      <c r="E38" s="233">
        <f>SUM(E28:E36)</f>
        <v/>
      </c>
      <c r="F38" s="233">
        <f>SUM(F28:F36)</f>
        <v/>
      </c>
      <c r="G38" s="234">
        <f>SUM(G28:G36)</f>
        <v/>
      </c>
      <c r="H38" s="235">
        <f>SUM(H28:H36)</f>
        <v/>
      </c>
      <c r="I38" s="233">
        <f>SUM(I28:I36)</f>
        <v/>
      </c>
      <c r="J38" s="234">
        <f>SUM(J28:J36)</f>
        <v/>
      </c>
      <c r="K38" s="233">
        <f>SUM(K28:K36)</f>
        <v/>
      </c>
      <c r="L38" s="233">
        <f>SUM(L28:L36)</f>
        <v/>
      </c>
      <c r="M38" s="234">
        <f>SUM(M28:M36)</f>
        <v/>
      </c>
      <c r="N38" s="179" t="n"/>
      <c r="O38" s="178" t="n"/>
      <c r="P38" s="178" t="n"/>
    </row>
    <row r="39" ht="14.25" customHeight="1">
      <c r="A39" s="178" t="n"/>
      <c r="B39" s="247" t="n"/>
      <c r="C39" s="248" t="inlineStr">
        <is>
          <t>Less: Total Offsets to Fees &amp; Expenses (applied during period)</t>
        </is>
      </c>
      <c r="D39" s="194" t="n"/>
      <c r="E39" s="233">
        <f>E26</f>
        <v/>
      </c>
      <c r="F39" s="233">
        <f>F26</f>
        <v/>
      </c>
      <c r="G39" s="234">
        <f>G26</f>
        <v/>
      </c>
      <c r="H39" s="235">
        <f>H26</f>
        <v/>
      </c>
      <c r="I39" s="233">
        <f>I26</f>
        <v/>
      </c>
      <c r="J39" s="234">
        <f>J26</f>
        <v/>
      </c>
      <c r="K39" s="233">
        <f>K26</f>
        <v/>
      </c>
      <c r="L39" s="233">
        <f>L26</f>
        <v/>
      </c>
      <c r="M39" s="234">
        <f>M26</f>
        <v/>
      </c>
      <c r="N39" s="179" t="n"/>
      <c r="O39" s="178" t="n"/>
      <c r="P39" s="178" t="n"/>
    </row>
    <row r="40" ht="14.25" customHeight="1">
      <c r="A40" s="178" t="n"/>
      <c r="B40" s="249" t="n"/>
      <c r="C40" s="250" t="inlineStr">
        <is>
          <t>Unapplied Offset Balance (Roll-forward) - Ending Balance</t>
        </is>
      </c>
      <c r="D40" s="251" t="n"/>
      <c r="E40" s="252">
        <f>E37+E38-E39</f>
        <v/>
      </c>
      <c r="F40" s="252">
        <f>F37+F38-F39</f>
        <v/>
      </c>
      <c r="G40" s="253">
        <f>G37+G38-G39</f>
        <v/>
      </c>
      <c r="H40" s="254">
        <f>H37+H38-H39</f>
        <v/>
      </c>
      <c r="I40" s="252">
        <f>I37+I38-I39</f>
        <v/>
      </c>
      <c r="J40" s="253">
        <f>J37+J38-J39</f>
        <v/>
      </c>
      <c r="K40" s="252">
        <f>K37+K38-K39</f>
        <v/>
      </c>
      <c r="L40" s="252">
        <f>L37+L38-L39</f>
        <v/>
      </c>
      <c r="M40" s="253">
        <f>M37+M38-M39</f>
        <v/>
      </c>
      <c r="N40" s="179" t="n"/>
      <c r="O40" s="178" t="n"/>
      <c r="P40" s="178" t="n"/>
    </row>
    <row r="41" ht="14.25" customHeight="1">
      <c r="A41" s="178" t="n"/>
      <c r="B41" s="231" t="inlineStr">
        <is>
          <t>(Total Management Fees &amp; Partnership Expenses, Net of Offsets &amp; Rebates, Gross of Fee Waiver)</t>
        </is>
      </c>
      <c r="C41" s="193" t="n"/>
      <c r="D41" s="194" t="n"/>
      <c r="E41" s="220">
        <f>E14+E15+E16+E26</f>
        <v/>
      </c>
      <c r="F41" s="220">
        <f>F14+F15+F16+F26</f>
        <v/>
      </c>
      <c r="G41" s="221">
        <f>G14+G15+G16+G26</f>
        <v/>
      </c>
      <c r="H41" s="222">
        <f>H14+H15+H16+H26</f>
        <v/>
      </c>
      <c r="I41" s="220">
        <f>I14+I15+I16+I26</f>
        <v/>
      </c>
      <c r="J41" s="221">
        <f>J14+J15+J16+J26</f>
        <v/>
      </c>
      <c r="K41" s="220">
        <f>K14+K15+K16+K26</f>
        <v/>
      </c>
      <c r="L41" s="220">
        <f>L14+L15+L16+L26</f>
        <v/>
      </c>
      <c r="M41" s="221">
        <f>M14+M15+M16+M26</f>
        <v/>
      </c>
      <c r="N41" s="179" t="n"/>
      <c r="O41" s="178" t="n"/>
      <c r="P41" s="178" t="n"/>
    </row>
    <row r="42" ht="14.25" customHeight="1">
      <c r="A42" s="178" t="n"/>
      <c r="B42" s="231" t="inlineStr">
        <is>
          <t>Fee Waiver</t>
        </is>
      </c>
      <c r="C42" s="193" t="n"/>
      <c r="D42" s="194" t="n"/>
      <c r="E42" s="220" t="n">
        <v>0</v>
      </c>
      <c r="F42" s="220" t="n">
        <v>0</v>
      </c>
      <c r="G42" s="221" t="n">
        <v>0</v>
      </c>
      <c r="H42" s="222" t="n">
        <v>0</v>
      </c>
      <c r="I42" s="220" t="n">
        <v>0</v>
      </c>
      <c r="J42" s="221" t="n">
        <v>0</v>
      </c>
      <c r="K42" s="220" t="n">
        <v>0</v>
      </c>
      <c r="L42" s="220" t="n">
        <v>0</v>
      </c>
      <c r="M42" s="221" t="n">
        <v>0</v>
      </c>
      <c r="N42" s="179" t="n"/>
      <c r="O42" s="178" t="n"/>
      <c r="P42" s="178" t="n"/>
    </row>
    <row r="43" ht="14.25" customHeight="1">
      <c r="A43" s="178" t="n"/>
      <c r="B43" s="231" t="inlineStr">
        <is>
          <t>Interest Income</t>
        </is>
      </c>
      <c r="C43" s="193" t="n"/>
      <c r="D43" s="194" t="n"/>
      <c r="E43" s="220" t="n">
        <v>0</v>
      </c>
      <c r="F43" s="220" t="n">
        <v>0</v>
      </c>
      <c r="G43" s="221" t="n">
        <v>0</v>
      </c>
      <c r="H43" s="222" t="n">
        <v>0</v>
      </c>
      <c r="I43" s="220" t="n">
        <v>0</v>
      </c>
      <c r="J43" s="221" t="n">
        <v>0</v>
      </c>
      <c r="K43" s="220" t="n">
        <v>0</v>
      </c>
      <c r="L43" s="220" t="n">
        <v>0</v>
      </c>
      <c r="M43" s="221" t="n">
        <v>0</v>
      </c>
      <c r="N43" s="179" t="n"/>
      <c r="O43" s="178" t="n"/>
      <c r="P43" s="178" t="n"/>
    </row>
    <row r="44" ht="14.25" customHeight="1">
      <c r="A44" s="178" t="n"/>
      <c r="B44" s="231" t="inlineStr">
        <is>
          <t>Dividend Income</t>
        </is>
      </c>
      <c r="C44" s="193" t="n"/>
      <c r="D44" s="194" t="n"/>
      <c r="E44" s="220" t="n">
        <v>0</v>
      </c>
      <c r="F44" s="220" t="n">
        <v>0</v>
      </c>
      <c r="G44" s="221" t="n">
        <v>0</v>
      </c>
      <c r="H44" s="222" t="n">
        <v>0</v>
      </c>
      <c r="I44" s="220" t="n">
        <v>0</v>
      </c>
      <c r="J44" s="221" t="n">
        <v>0</v>
      </c>
      <c r="K44" s="220" t="n">
        <v>0</v>
      </c>
      <c r="L44" s="220" t="n">
        <v>0</v>
      </c>
      <c r="M44" s="221" t="n">
        <v>0</v>
      </c>
      <c r="N44" s="179" t="n"/>
      <c r="O44" s="178" t="n"/>
      <c r="P44" s="178" t="n"/>
    </row>
    <row r="45" ht="14.25" customHeight="1">
      <c r="A45" s="178" t="n"/>
      <c r="B45" s="231" t="inlineStr">
        <is>
          <t>(Interest Expense)</t>
        </is>
      </c>
      <c r="C45" s="193" t="n"/>
      <c r="D45" s="194" t="n"/>
      <c r="E45" s="220" t="n">
        <v>0</v>
      </c>
      <c r="F45" s="220" t="n">
        <v>0</v>
      </c>
      <c r="G45" s="221" t="n">
        <v>0</v>
      </c>
      <c r="H45" s="222" t="n">
        <v>0</v>
      </c>
      <c r="I45" s="220" t="n">
        <v>0</v>
      </c>
      <c r="J45" s="221" t="n">
        <v>0</v>
      </c>
      <c r="K45" s="220" t="n">
        <v>0</v>
      </c>
      <c r="L45" s="220" t="n">
        <v>0</v>
      </c>
      <c r="M45" s="221" t="n">
        <v>0</v>
      </c>
      <c r="N45" s="179" t="n"/>
      <c r="O45" s="178" t="n"/>
      <c r="P45" s="178" t="n"/>
    </row>
    <row r="46" ht="14.25" customHeight="1">
      <c r="A46" s="178" t="n"/>
      <c r="B46" s="231" t="inlineStr">
        <is>
          <t>Other Income/(Expense)+</t>
        </is>
      </c>
      <c r="C46" s="193" t="n"/>
      <c r="D46" s="194" t="n"/>
      <c r="E46" s="220" t="n">
        <v>0</v>
      </c>
      <c r="F46" s="220" t="n">
        <v>0</v>
      </c>
      <c r="G46" s="221" t="n">
        <v>0</v>
      </c>
      <c r="H46" s="222" t="n">
        <v>0</v>
      </c>
      <c r="I46" s="220" t="n">
        <v>0</v>
      </c>
      <c r="J46" s="221" t="n">
        <v>0</v>
      </c>
      <c r="K46" s="220" t="n">
        <v>0</v>
      </c>
      <c r="L46" s="220" t="n">
        <v>0</v>
      </c>
      <c r="M46" s="221" t="n">
        <v>0</v>
      </c>
      <c r="N46" s="179" t="n"/>
      <c r="O46" s="178" t="n"/>
      <c r="P46" s="178" t="n"/>
    </row>
    <row r="47" ht="14.25" customHeight="1">
      <c r="A47" s="178" t="n"/>
      <c r="B47" s="225" t="inlineStr">
        <is>
          <t>Total Net Operating Income / (Expense)</t>
        </is>
      </c>
      <c r="C47" s="193" t="n"/>
      <c r="D47" s="194" t="n"/>
      <c r="E47" s="226">
        <f>SUM(E41:E46)</f>
        <v/>
      </c>
      <c r="F47" s="226">
        <f>SUM(F41:F46)</f>
        <v/>
      </c>
      <c r="G47" s="227">
        <f>SUM(G41:G46)</f>
        <v/>
      </c>
      <c r="H47" s="228">
        <f>SUM(H41:H46)</f>
        <v/>
      </c>
      <c r="I47" s="226">
        <f>SUM(I41:I46)</f>
        <v/>
      </c>
      <c r="J47" s="227">
        <f>SUM(J41:J46)</f>
        <v/>
      </c>
      <c r="K47" s="226">
        <f>SUM(K41:K46)</f>
        <v/>
      </c>
      <c r="L47" s="226">
        <f>SUM(L41:L46)</f>
        <v/>
      </c>
      <c r="M47" s="227">
        <f>SUM(M41:M46)</f>
        <v/>
      </c>
      <c r="N47" s="179" t="n"/>
      <c r="O47" s="178" t="n"/>
      <c r="P47" s="178" t="n"/>
    </row>
    <row r="48" ht="14.25" customHeight="1">
      <c r="A48" s="178" t="n"/>
      <c r="B48" s="225" t="inlineStr">
        <is>
          <t>(Placement Fees)</t>
        </is>
      </c>
      <c r="C48" s="193" t="n"/>
      <c r="D48" s="194" t="n"/>
      <c r="E48" s="226" t="n">
        <v>0</v>
      </c>
      <c r="F48" s="226" t="n">
        <v>0</v>
      </c>
      <c r="G48" s="227" t="n">
        <v>0</v>
      </c>
      <c r="H48" s="228" t="n">
        <v>0</v>
      </c>
      <c r="I48" s="226" t="n">
        <v>0</v>
      </c>
      <c r="J48" s="227" t="n">
        <v>0</v>
      </c>
      <c r="K48" s="226" t="n">
        <v>0</v>
      </c>
      <c r="L48" s="226" t="n">
        <v>0</v>
      </c>
      <c r="M48" s="227" t="n">
        <v>0</v>
      </c>
      <c r="N48" s="179" t="n"/>
      <c r="O48" s="178" t="n"/>
      <c r="P48" s="178" t="n"/>
    </row>
    <row r="49" ht="14.25" customHeight="1">
      <c r="A49" s="178" t="n"/>
      <c r="B49" s="225" t="inlineStr">
        <is>
          <t>Realized Gain / (Loss)</t>
        </is>
      </c>
      <c r="C49" s="193" t="n"/>
      <c r="D49" s="194" t="n"/>
      <c r="E49" s="226" t="n">
        <v>0</v>
      </c>
      <c r="F49" s="226" t="n">
        <v>0</v>
      </c>
      <c r="G49" s="227" t="n">
        <v>0</v>
      </c>
      <c r="H49" s="228" t="n">
        <v>0</v>
      </c>
      <c r="I49" s="226" t="n">
        <v>0</v>
      </c>
      <c r="J49" s="227" t="n">
        <v>0</v>
      </c>
      <c r="K49" s="226" t="n">
        <v>0</v>
      </c>
      <c r="L49" s="226" t="n">
        <v>0</v>
      </c>
      <c r="M49" s="227" t="n">
        <v>0</v>
      </c>
      <c r="N49" s="179" t="n"/>
      <c r="O49" s="178" t="n"/>
      <c r="P49" s="178" t="n"/>
    </row>
    <row r="50" ht="14.25" customHeight="1">
      <c r="A50" s="178" t="n"/>
      <c r="B50" s="225" t="inlineStr">
        <is>
          <t>Change in Unrealized Gain / (Loss)</t>
        </is>
      </c>
      <c r="C50" s="193" t="n"/>
      <c r="D50" s="194" t="n"/>
      <c r="E50" s="226" t="n">
        <v>0</v>
      </c>
      <c r="F50" s="226" t="n">
        <v>0</v>
      </c>
      <c r="G50" s="227" t="n">
        <v>0</v>
      </c>
      <c r="H50" s="228" t="n">
        <v>0</v>
      </c>
      <c r="I50" s="226" t="n">
        <v>0</v>
      </c>
      <c r="J50" s="227" t="n">
        <v>0</v>
      </c>
      <c r="K50" s="226" t="n">
        <v>0</v>
      </c>
      <c r="L50" s="226" t="n">
        <v>0</v>
      </c>
      <c r="M50" s="227" t="n">
        <v>0</v>
      </c>
      <c r="N50" s="179" t="n"/>
      <c r="O50" s="178" t="n"/>
      <c r="P50" s="178" t="n"/>
    </row>
    <row r="51" ht="14.25" customHeight="1">
      <c r="A51" s="178" t="n"/>
      <c r="B51" s="225" t="inlineStr">
        <is>
          <t>Ending NAV - Net of Incentive Allocation</t>
        </is>
      </c>
      <c r="C51" s="193" t="n"/>
      <c r="D51" s="194" t="n"/>
      <c r="E51" s="255">
        <f>E9+E12+E47+E48+E49+E50</f>
        <v/>
      </c>
      <c r="F51" s="255">
        <f>F9+F12+F47+F48+F49+F50</f>
        <v/>
      </c>
      <c r="G51" s="256">
        <f>G9+G12+G47+G48+G49+G50</f>
        <v/>
      </c>
      <c r="H51" s="257">
        <f>H9+H12+H47+H48+H49+H50</f>
        <v/>
      </c>
      <c r="I51" s="255">
        <f>I9+I12+I47+I48+I49+I50</f>
        <v/>
      </c>
      <c r="J51" s="256">
        <f>J9+J12+J47+J48+J49+J50</f>
        <v/>
      </c>
      <c r="K51" s="255">
        <f>K9+K12+K47+K48+K49+K50</f>
        <v/>
      </c>
      <c r="L51" s="255">
        <f>L9+L12+L47+L48+L49+L50</f>
        <v/>
      </c>
      <c r="M51" s="256">
        <f>M9+M12+M47+M48+M49+M50</f>
        <v/>
      </c>
      <c r="N51" s="179" t="n"/>
      <c r="O51" s="178" t="n"/>
      <c r="P51" s="178" t="n"/>
    </row>
    <row r="52" ht="14.25" customHeight="1">
      <c r="A52" s="178" t="n"/>
      <c r="B52" s="258" t="inlineStr">
        <is>
          <t>Reconciliation for Accrued Incentive Allocation</t>
        </is>
      </c>
      <c r="C52" s="259" t="inlineStr">
        <is>
          <t>Accrued Incentive Allocation - Starting Period Balance</t>
        </is>
      </c>
      <c r="D52" s="243" t="n"/>
      <c r="E52" s="260" t="n">
        <v>0</v>
      </c>
      <c r="F52" s="260" t="n">
        <v>0</v>
      </c>
      <c r="G52" s="261" t="n">
        <v>0</v>
      </c>
      <c r="H52" s="262" t="n">
        <v>0</v>
      </c>
      <c r="I52" s="260" t="n">
        <v>0</v>
      </c>
      <c r="J52" s="261" t="n">
        <v>0</v>
      </c>
      <c r="K52" s="260" t="n">
        <v>0</v>
      </c>
      <c r="L52" s="260" t="n">
        <v>0</v>
      </c>
      <c r="M52" s="261" t="n">
        <v>0</v>
      </c>
      <c r="N52" s="179" t="n"/>
      <c r="O52" s="178" t="n"/>
      <c r="P52" s="178" t="n"/>
    </row>
    <row r="53" ht="15" customHeight="1">
      <c r="A53" s="178" t="n"/>
      <c r="B53" s="192" t="n"/>
      <c r="C53" s="263" t="inlineStr">
        <is>
          <t>Incentive Allocation - Paid During the Period</t>
        </is>
      </c>
      <c r="D53" s="194" t="n"/>
      <c r="E53" s="220" t="n">
        <v>0</v>
      </c>
      <c r="F53" s="220" t="n">
        <v>0</v>
      </c>
      <c r="G53" s="221" t="n">
        <v>0</v>
      </c>
      <c r="H53" s="222" t="n">
        <v>0</v>
      </c>
      <c r="I53" s="220" t="n">
        <v>0</v>
      </c>
      <c r="J53" s="221" t="n">
        <v>0</v>
      </c>
      <c r="K53" s="220" t="n">
        <v>0</v>
      </c>
      <c r="L53" s="220" t="n">
        <v>0</v>
      </c>
      <c r="M53" s="221" t="n">
        <v>0</v>
      </c>
      <c r="N53" s="179" t="n"/>
      <c r="O53" s="178" t="n"/>
      <c r="P53" s="178" t="n"/>
    </row>
    <row r="54" ht="15" customHeight="1">
      <c r="A54" s="178" t="n"/>
      <c r="B54" s="192" t="n"/>
      <c r="C54" s="263" t="inlineStr">
        <is>
          <t>Accrued Incentive Allocation - Periodic Change</t>
        </is>
      </c>
      <c r="D54" s="194" t="n"/>
      <c r="E54" s="220" t="n">
        <v>0</v>
      </c>
      <c r="F54" s="220" t="n">
        <v>0</v>
      </c>
      <c r="G54" s="221" t="n">
        <v>0</v>
      </c>
      <c r="H54" s="222" t="n">
        <v>0</v>
      </c>
      <c r="I54" s="220" t="n">
        <v>0</v>
      </c>
      <c r="J54" s="221" t="n">
        <v>0</v>
      </c>
      <c r="K54" s="220" t="n">
        <v>0</v>
      </c>
      <c r="L54" s="220" t="n">
        <v>0</v>
      </c>
      <c r="M54" s="221" t="n">
        <v>0</v>
      </c>
      <c r="N54" s="179" t="n"/>
      <c r="O54" s="178" t="n"/>
      <c r="P54" s="178" t="n"/>
    </row>
    <row r="55" ht="15" customHeight="1">
      <c r="A55" s="178" t="n"/>
      <c r="B55" s="192" t="n"/>
      <c r="C55" s="264" t="inlineStr">
        <is>
          <t>Accrued Incentive Allocation - Ending Period Balance</t>
        </is>
      </c>
      <c r="D55" s="194" t="n"/>
      <c r="E55" s="220">
        <f>SUM(E52:E54)</f>
        <v/>
      </c>
      <c r="F55" s="220">
        <f>SUM(F52:F54)</f>
        <v/>
      </c>
      <c r="G55" s="221">
        <f>SUM(G52:G54)</f>
        <v/>
      </c>
      <c r="H55" s="222">
        <f>SUM(H52:H54)</f>
        <v/>
      </c>
      <c r="I55" s="220">
        <f>SUM(I52:I54)</f>
        <v/>
      </c>
      <c r="J55" s="221">
        <f>SUM(J52:J54)</f>
        <v/>
      </c>
      <c r="K55" s="220">
        <f>SUM(K52:K54)</f>
        <v/>
      </c>
      <c r="L55" s="220">
        <f>SUM(L52:L54)</f>
        <v/>
      </c>
      <c r="M55" s="221">
        <f>SUM(M52:M54)</f>
        <v/>
      </c>
      <c r="N55" s="179" t="n"/>
      <c r="O55" s="178" t="n"/>
      <c r="P55" s="178" t="n"/>
    </row>
    <row r="56" ht="15" customHeight="1">
      <c r="A56" s="178" t="n"/>
      <c r="B56" s="197" t="n"/>
      <c r="C56" s="265" t="inlineStr">
        <is>
          <t>Ending NAV - Gross of Accrued Incentive Allocation</t>
        </is>
      </c>
      <c r="D56" s="198" t="n"/>
      <c r="E56" s="266">
        <f>E51-E55</f>
        <v/>
      </c>
      <c r="F56" s="266">
        <f>F51-F55</f>
        <v/>
      </c>
      <c r="G56" s="267">
        <f>G51-G55</f>
        <v/>
      </c>
      <c r="H56" s="268">
        <f>H51-H55</f>
        <v/>
      </c>
      <c r="I56" s="266">
        <f>I51-I55</f>
        <v/>
      </c>
      <c r="J56" s="267">
        <f>J51-J55</f>
        <v/>
      </c>
      <c r="K56" s="266">
        <f>K51-K55</f>
        <v/>
      </c>
      <c r="L56" s="266">
        <f>L51-L55</f>
        <v/>
      </c>
      <c r="M56" s="267">
        <f>M51-M55</f>
        <v/>
      </c>
      <c r="N56" s="179" t="n"/>
      <c r="O56" s="178" t="n"/>
      <c r="P56" s="178" t="n"/>
    </row>
    <row r="57" ht="15" customHeight="1">
      <c r="A57" s="178" t="n"/>
      <c r="B57" s="269" t="n"/>
      <c r="C57" s="270" t="n"/>
      <c r="D57" s="271" t="n"/>
      <c r="E57" s="272" t="n"/>
      <c r="F57" s="272" t="n"/>
      <c r="G57" s="272" t="n"/>
      <c r="H57" s="272" t="n"/>
      <c r="I57" s="272" t="n"/>
      <c r="J57" s="272" t="n"/>
      <c r="K57" s="272" t="n"/>
      <c r="L57" s="272" t="n"/>
      <c r="M57" s="272" t="n"/>
      <c r="N57" s="179" t="n"/>
      <c r="O57" s="178" t="n"/>
      <c r="P57" s="178" t="n"/>
    </row>
    <row r="58" ht="15" customHeight="1">
      <c r="A58" s="207" t="n"/>
      <c r="B58" s="208" t="inlineStr">
        <is>
          <t>A.2 Commitment Reconciliation:</t>
        </is>
      </c>
      <c r="C58" s="209" t="n"/>
      <c r="D58" s="210" t="n"/>
      <c r="E58" s="211" t="inlineStr">
        <is>
          <t>Investor's Allocation of Total Fund</t>
        </is>
      </c>
      <c r="F58" s="209" t="n"/>
      <c r="G58" s="210" t="n"/>
      <c r="H58" s="211">
        <f>H8</f>
        <v/>
      </c>
      <c r="I58" s="209" t="n"/>
      <c r="J58" s="210" t="n"/>
      <c r="K58" s="211">
        <f>K8</f>
        <v/>
      </c>
      <c r="L58" s="209" t="n"/>
      <c r="M58" s="210" t="n"/>
      <c r="N58" s="213" t="n"/>
      <c r="O58" s="207" t="n"/>
      <c r="P58" s="207" t="n"/>
    </row>
    <row r="59" ht="14.25" customHeight="1">
      <c r="A59" s="178" t="n"/>
      <c r="B59" s="273" t="inlineStr">
        <is>
          <t>Total Commitment</t>
        </is>
      </c>
      <c r="C59" s="185" t="n"/>
      <c r="D59" s="186" t="n"/>
      <c r="E59" s="217" t="n">
        <v>0</v>
      </c>
      <c r="F59" s="215">
        <f>E59</f>
        <v/>
      </c>
      <c r="G59" s="216">
        <f>E59</f>
        <v/>
      </c>
      <c r="H59" s="217" t="n">
        <v>0</v>
      </c>
      <c r="I59" s="215">
        <f>H59</f>
        <v/>
      </c>
      <c r="J59" s="216">
        <f>H59</f>
        <v/>
      </c>
      <c r="K59" s="217" t="n">
        <v>0</v>
      </c>
      <c r="L59" s="215">
        <f>K59</f>
        <v/>
      </c>
      <c r="M59" s="216">
        <f>K59</f>
        <v/>
      </c>
      <c r="N59" s="179" t="n"/>
      <c r="O59" s="178" t="n"/>
      <c r="P59" s="178" t="n"/>
    </row>
    <row r="60" ht="14.25" customHeight="1">
      <c r="A60" s="178" t="n"/>
      <c r="B60" s="225" t="inlineStr">
        <is>
          <t>Beginning Unfunded Commitment:</t>
        </is>
      </c>
      <c r="C60" s="193" t="n"/>
      <c r="D60" s="194" t="n"/>
      <c r="E60" s="274" t="n">
        <v>0</v>
      </c>
      <c r="F60" s="272" t="n">
        <v>0</v>
      </c>
      <c r="G60" s="275">
        <f>E59</f>
        <v/>
      </c>
      <c r="H60" s="274" t="n">
        <v>0</v>
      </c>
      <c r="I60" s="272" t="n">
        <v>0</v>
      </c>
      <c r="J60" s="275">
        <f>H59</f>
        <v/>
      </c>
      <c r="K60" s="228" t="n">
        <v>0</v>
      </c>
      <c r="L60" s="226" t="n">
        <v>0</v>
      </c>
      <c r="M60" s="227">
        <f>K59</f>
        <v/>
      </c>
      <c r="N60" s="179" t="n"/>
      <c r="O60" s="178" t="n"/>
      <c r="P60" s="178" t="n"/>
    </row>
    <row r="61" ht="14.25" customHeight="1">
      <c r="A61" s="178" t="n"/>
      <c r="B61" s="231" t="inlineStr">
        <is>
          <t>(Less Contributions)</t>
        </is>
      </c>
      <c r="C61" s="193" t="n"/>
      <c r="D61" s="194" t="n"/>
      <c r="E61" s="222" t="n">
        <v>0</v>
      </c>
      <c r="F61" s="220" t="n">
        <v>0</v>
      </c>
      <c r="G61" s="221" t="n">
        <v>0</v>
      </c>
      <c r="H61" s="222" t="n">
        <v>0</v>
      </c>
      <c r="I61" s="220" t="n">
        <v>0</v>
      </c>
      <c r="J61" s="221" t="n">
        <v>0</v>
      </c>
      <c r="K61" s="222" t="n">
        <v>0</v>
      </c>
      <c r="L61" s="220" t="n">
        <v>0</v>
      </c>
      <c r="M61" s="221" t="n">
        <v>0</v>
      </c>
      <c r="N61" s="179" t="n"/>
      <c r="O61" s="178" t="n"/>
      <c r="P61" s="178" t="n"/>
    </row>
    <row r="62" ht="14.25" customHeight="1">
      <c r="A62" s="178" t="n"/>
      <c r="B62" s="231" t="inlineStr">
        <is>
          <t>Plus Recallable Distributions</t>
        </is>
      </c>
      <c r="C62" s="193" t="n"/>
      <c r="D62" s="194" t="n"/>
      <c r="E62" s="222" t="n">
        <v>0</v>
      </c>
      <c r="F62" s="220" t="n">
        <v>0</v>
      </c>
      <c r="G62" s="221" t="n">
        <v>0</v>
      </c>
      <c r="H62" s="222" t="n">
        <v>0</v>
      </c>
      <c r="I62" s="220" t="n">
        <v>0</v>
      </c>
      <c r="J62" s="221" t="n">
        <v>0</v>
      </c>
      <c r="K62" s="222" t="n">
        <v>0</v>
      </c>
      <c r="L62" s="220" t="n">
        <v>0</v>
      </c>
      <c r="M62" s="221" t="n">
        <v>0</v>
      </c>
      <c r="N62" s="179" t="n"/>
      <c r="O62" s="178" t="n"/>
      <c r="P62" s="178" t="n"/>
    </row>
    <row r="63" ht="14.25" customHeight="1">
      <c r="A63" s="178" t="n"/>
      <c r="B63" s="231" t="inlineStr">
        <is>
          <t>(Less Expired/Released Commitments)</t>
        </is>
      </c>
      <c r="C63" s="193" t="n"/>
      <c r="D63" s="194" t="n"/>
      <c r="E63" s="222" t="n">
        <v>0</v>
      </c>
      <c r="F63" s="220" t="n">
        <v>0</v>
      </c>
      <c r="G63" s="221" t="n">
        <v>0</v>
      </c>
      <c r="H63" s="222" t="n">
        <v>0</v>
      </c>
      <c r="I63" s="220" t="n">
        <v>0</v>
      </c>
      <c r="J63" s="221" t="n">
        <v>0</v>
      </c>
      <c r="K63" s="222" t="n">
        <v>0</v>
      </c>
      <c r="L63" s="220" t="n">
        <v>0</v>
      </c>
      <c r="M63" s="221" t="n">
        <v>0</v>
      </c>
      <c r="N63" s="179" t="n"/>
      <c r="O63" s="178" t="n"/>
      <c r="P63" s="178" t="n"/>
    </row>
    <row r="64" ht="14.25" customHeight="1">
      <c r="A64" s="178" t="n"/>
      <c r="B64" s="231" t="inlineStr">
        <is>
          <t>+/- Other Unfunded Adjustment</t>
        </is>
      </c>
      <c r="C64" s="193" t="n"/>
      <c r="D64" s="194" t="n"/>
      <c r="E64" s="222" t="n">
        <v>0</v>
      </c>
      <c r="F64" s="220" t="n">
        <v>0</v>
      </c>
      <c r="G64" s="221" t="n">
        <v>0</v>
      </c>
      <c r="H64" s="222" t="n">
        <v>0</v>
      </c>
      <c r="I64" s="220" t="n">
        <v>0</v>
      </c>
      <c r="J64" s="221" t="n">
        <v>0</v>
      </c>
      <c r="K64" s="222" t="n">
        <v>0</v>
      </c>
      <c r="L64" s="220" t="n">
        <v>0</v>
      </c>
      <c r="M64" s="221" t="n">
        <v>0</v>
      </c>
      <c r="N64" s="179" t="n"/>
      <c r="O64" s="203" t="n"/>
      <c r="P64" s="203" t="n"/>
    </row>
    <row r="65" ht="15" customHeight="1">
      <c r="A65" s="178" t="n"/>
      <c r="B65" s="276" t="inlineStr">
        <is>
          <t>Ending Unfunded Commitment</t>
        </is>
      </c>
      <c r="C65" s="181" t="n"/>
      <c r="D65" s="198" t="n"/>
      <c r="E65" s="277">
        <f>SUM(E60:E64)</f>
        <v/>
      </c>
      <c r="F65" s="278">
        <f>SUM(F60:F64)</f>
        <v/>
      </c>
      <c r="G65" s="279">
        <f>SUM(G60:G64)</f>
        <v/>
      </c>
      <c r="H65" s="277">
        <f>SUM(H60:H64)</f>
        <v/>
      </c>
      <c r="I65" s="278">
        <f>SUM(I60:I64)</f>
        <v/>
      </c>
      <c r="J65" s="279">
        <f>SUM(J60:J64)</f>
        <v/>
      </c>
      <c r="K65" s="277">
        <f>SUM(K60:K64)</f>
        <v/>
      </c>
      <c r="L65" s="278">
        <f>SUM(L60:L64)</f>
        <v/>
      </c>
      <c r="M65" s="279">
        <f>SUM(M60:M64)</f>
        <v/>
      </c>
      <c r="N65" s="179" t="n"/>
      <c r="O65" s="203" t="n"/>
      <c r="P65" s="203" t="n"/>
    </row>
    <row r="66" ht="15" customHeight="1">
      <c r="A66" s="178" t="n"/>
      <c r="B66" s="280" t="n"/>
      <c r="C66" s="280" t="n"/>
      <c r="D66" s="280" t="n"/>
      <c r="E66" s="272" t="n"/>
      <c r="F66" s="272" t="n"/>
      <c r="G66" s="272" t="n"/>
      <c r="H66" s="272" t="n"/>
      <c r="I66" s="272" t="n"/>
      <c r="J66" s="272" t="n"/>
      <c r="K66" s="272" t="n"/>
      <c r="L66" s="272" t="n"/>
      <c r="M66" s="272" t="n"/>
      <c r="N66" s="179" t="n"/>
      <c r="O66" s="203" t="n"/>
      <c r="P66" s="203" t="n"/>
    </row>
    <row r="67" ht="15" customHeight="1">
      <c r="A67" s="207" t="n"/>
      <c r="B67" s="208" t="inlineStr">
        <is>
          <t>A.3 Miscellaneous** (input positive values):</t>
        </is>
      </c>
      <c r="C67" s="209" t="n"/>
      <c r="D67" s="210" t="n"/>
      <c r="E67" s="281" t="inlineStr">
        <is>
          <t>Investor's Allocation of Total Fund</t>
        </is>
      </c>
      <c r="F67" s="282" t="n"/>
      <c r="G67" s="283" t="n"/>
      <c r="H67" s="281">
        <f>H8</f>
        <v/>
      </c>
      <c r="I67" s="282" t="n"/>
      <c r="J67" s="283" t="n"/>
      <c r="K67" s="281">
        <f>K8</f>
        <v/>
      </c>
      <c r="L67" s="282" t="n"/>
      <c r="M67" s="283" t="n"/>
      <c r="N67" s="213" t="n"/>
      <c r="O67" s="207" t="n"/>
      <c r="P67" s="207" t="n"/>
    </row>
    <row r="68" ht="14.25" customHeight="1">
      <c r="A68" s="207" t="n"/>
      <c r="B68" s="229" t="inlineStr">
        <is>
          <t>Incentive Allocation - Earned (period-end balance)****</t>
        </is>
      </c>
      <c r="C68" s="193" t="n"/>
      <c r="D68" s="194" t="n"/>
      <c r="E68" s="284" t="n">
        <v>0</v>
      </c>
      <c r="F68" s="285">
        <f>E68</f>
        <v/>
      </c>
      <c r="G68" s="286">
        <f>E68</f>
        <v/>
      </c>
      <c r="H68" s="284" t="n">
        <v>0</v>
      </c>
      <c r="I68" s="285">
        <f>H68</f>
        <v/>
      </c>
      <c r="J68" s="286">
        <f>H68</f>
        <v/>
      </c>
      <c r="K68" s="284" t="n">
        <v>0</v>
      </c>
      <c r="L68" s="285">
        <f>K68</f>
        <v/>
      </c>
      <c r="M68" s="286">
        <f>K68</f>
        <v/>
      </c>
      <c r="N68" s="213" t="n"/>
      <c r="O68" s="207" t="n"/>
      <c r="P68" s="207" t="n"/>
    </row>
    <row r="69" ht="14.25" customHeight="1">
      <c r="A69" s="207" t="n"/>
      <c r="B69" s="229" t="inlineStr">
        <is>
          <t>Incentive Allocation - Amount Held in Escrow (period-end balance)****</t>
        </is>
      </c>
      <c r="C69" s="193" t="n"/>
      <c r="D69" s="194" t="n"/>
      <c r="E69" s="284" t="n">
        <v>0</v>
      </c>
      <c r="F69" s="285">
        <f>E69</f>
        <v/>
      </c>
      <c r="G69" s="286">
        <f>E69</f>
        <v/>
      </c>
      <c r="H69" s="284" t="n">
        <v>0</v>
      </c>
      <c r="I69" s="285">
        <f>H69</f>
        <v/>
      </c>
      <c r="J69" s="286" t="n">
        <v>0</v>
      </c>
      <c r="K69" s="284" t="n">
        <v>0</v>
      </c>
      <c r="L69" s="285">
        <f>K69</f>
        <v/>
      </c>
      <c r="M69" s="286">
        <f>K69</f>
        <v/>
      </c>
      <c r="N69" s="213" t="n"/>
      <c r="O69" s="207" t="n"/>
      <c r="P69" s="207" t="n"/>
    </row>
    <row r="70" ht="14.25" customHeight="1">
      <c r="A70" s="207" t="n"/>
      <c r="B70" s="229" t="inlineStr">
        <is>
          <t>Returned Clawback****</t>
        </is>
      </c>
      <c r="C70" s="193" t="n"/>
      <c r="D70" s="194" t="n"/>
      <c r="E70" s="284" t="n">
        <v>0</v>
      </c>
      <c r="F70" s="285" t="n">
        <v>0</v>
      </c>
      <c r="G70" s="286" t="n">
        <v>0</v>
      </c>
      <c r="H70" s="284" t="n">
        <v>0</v>
      </c>
      <c r="I70" s="285" t="n">
        <v>0</v>
      </c>
      <c r="J70" s="286" t="n">
        <v>0</v>
      </c>
      <c r="K70" s="284" t="n">
        <v>0</v>
      </c>
      <c r="L70" s="285" t="n">
        <v>0</v>
      </c>
      <c r="M70" s="286" t="n">
        <v>0</v>
      </c>
      <c r="N70" s="213" t="n"/>
      <c r="O70" s="207" t="n"/>
      <c r="P70" s="207" t="n"/>
    </row>
    <row r="71" ht="14.25" customHeight="1">
      <c r="A71" s="207" t="n"/>
      <c r="B71" s="229" t="inlineStr">
        <is>
          <t>Capitalized Transaction Fees &amp; Exp. - Paid to Non-Related Parties****</t>
        </is>
      </c>
      <c r="C71" s="193" t="n"/>
      <c r="D71" s="194" t="n"/>
      <c r="E71" s="284" t="n">
        <v>0</v>
      </c>
      <c r="F71" s="285" t="n">
        <v>0</v>
      </c>
      <c r="G71" s="286" t="n">
        <v>0</v>
      </c>
      <c r="H71" s="284" t="n">
        <v>0</v>
      </c>
      <c r="I71" s="285" t="n">
        <v>0</v>
      </c>
      <c r="J71" s="286" t="n">
        <v>0</v>
      </c>
      <c r="K71" s="287" t="n">
        <v>0</v>
      </c>
      <c r="L71" s="193" t="n"/>
      <c r="M71" s="194" t="n"/>
      <c r="N71" s="213" t="n"/>
      <c r="O71" s="207" t="n"/>
      <c r="P71" s="207" t="n"/>
    </row>
    <row r="72" ht="14.25" customHeight="1">
      <c r="A72" s="207" t="n"/>
      <c r="B72" s="229" t="inlineStr">
        <is>
          <t>Distributions Relating to Fees &amp; Expenses****</t>
        </is>
      </c>
      <c r="C72" s="193" t="n"/>
      <c r="D72" s="194" t="n"/>
      <c r="E72" s="284" t="n">
        <v>0</v>
      </c>
      <c r="F72" s="285" t="n">
        <v>0</v>
      </c>
      <c r="G72" s="286" t="n">
        <v>0</v>
      </c>
      <c r="H72" s="284" t="n">
        <v>0</v>
      </c>
      <c r="I72" s="285" t="n">
        <v>0</v>
      </c>
      <c r="J72" s="286" t="n">
        <v>0</v>
      </c>
      <c r="K72" s="192" t="n"/>
      <c r="L72" s="193" t="n"/>
      <c r="M72" s="194" t="n"/>
      <c r="N72" s="213" t="n"/>
      <c r="O72" s="207" t="n"/>
      <c r="P72" s="207" t="n"/>
    </row>
    <row r="73" ht="15" customHeight="1">
      <c r="A73" s="207" t="n"/>
      <c r="B73" s="288" t="inlineStr">
        <is>
          <t>Fund of Funds: Gross Fees, Exp. &amp; Incentive Allocation paid to the Underlying Funds****</t>
        </is>
      </c>
      <c r="C73" s="181" t="n"/>
      <c r="D73" s="198" t="n"/>
      <c r="E73" s="266">
        <f>IFERROR(H73*E59/H59,0)</f>
        <v/>
      </c>
      <c r="F73" s="266">
        <f>IFERROR(I73*E59/H59,0)</f>
        <v/>
      </c>
      <c r="G73" s="267">
        <f>IFERROR(J73*E59/H59,0)</f>
        <v/>
      </c>
      <c r="H73" s="268" t="n">
        <v>0</v>
      </c>
      <c r="I73" s="266" t="n">
        <v>0</v>
      </c>
      <c r="J73" s="267" t="n">
        <v>0</v>
      </c>
      <c r="K73" s="197" t="n"/>
      <c r="L73" s="181" t="n"/>
      <c r="M73" s="198" t="n"/>
      <c r="N73" s="213" t="n"/>
      <c r="O73" s="207" t="n"/>
      <c r="P73" s="207" t="n"/>
    </row>
    <row r="74" ht="14.25" customHeight="1">
      <c r="A74" s="178" t="n"/>
      <c r="B74" s="205" t="inlineStr">
        <is>
          <t>B. Schedule of Fees, Incentive Allocation &amp; Reimbursements Received by the GP &amp; Related Parties, with Respect to the Fund and Portfolio Companies/Investments Held by the Fund</t>
        </is>
      </c>
      <c r="C74" s="193" t="n"/>
      <c r="D74" s="193" t="n"/>
      <c r="E74" s="193" t="n"/>
      <c r="F74" s="193" t="n"/>
      <c r="G74" s="193" t="n"/>
      <c r="H74" s="193" t="n"/>
      <c r="I74" s="193" t="n"/>
      <c r="J74" s="193" t="n"/>
      <c r="K74" s="193" t="n"/>
      <c r="L74" s="193" t="n"/>
      <c r="M74" s="193" t="n"/>
      <c r="N74" s="179" t="n"/>
      <c r="O74" s="203" t="n"/>
      <c r="P74" s="203" t="n"/>
    </row>
    <row r="75" ht="15" customHeight="1">
      <c r="A75" s="178" t="n"/>
      <c r="B75" s="193" t="n"/>
      <c r="C75" s="193" t="n"/>
      <c r="D75" s="193" t="n"/>
      <c r="E75" s="193" t="n"/>
      <c r="F75" s="193" t="n"/>
      <c r="G75" s="193" t="n"/>
      <c r="H75" s="193" t="n"/>
      <c r="I75" s="193" t="n"/>
      <c r="J75" s="193" t="n"/>
      <c r="K75" s="193" t="n"/>
      <c r="L75" s="193" t="n"/>
      <c r="M75" s="193" t="n"/>
      <c r="N75" s="193" t="n"/>
      <c r="O75" s="178" t="n"/>
      <c r="P75" s="178" t="n"/>
    </row>
    <row r="76" ht="15" customHeight="1">
      <c r="A76" s="207" t="n"/>
      <c r="B76" s="208" t="inlineStr">
        <is>
          <t>B.1 Source Allocation:</t>
        </is>
      </c>
      <c r="C76" s="209" t="n"/>
      <c r="D76" s="210" t="n"/>
      <c r="E76" s="289" t="inlineStr">
        <is>
          <t>Investor's Allocation of Total Fund</t>
        </is>
      </c>
      <c r="F76" s="185" t="n"/>
      <c r="G76" s="186" t="n"/>
      <c r="H76" s="289" t="inlineStr">
        <is>
          <t>Cumulative LPs' Allocation of Total Fund</t>
        </is>
      </c>
      <c r="I76" s="185" t="n"/>
      <c r="J76" s="186" t="n"/>
      <c r="K76" s="289" t="inlineStr">
        <is>
          <t>Affiliated Positions***</t>
        </is>
      </c>
      <c r="L76" s="185" t="n"/>
      <c r="M76" s="186" t="n"/>
      <c r="N76" s="213" t="n"/>
      <c r="O76" s="207" t="n"/>
      <c r="P76" s="207" t="n"/>
    </row>
    <row r="77" ht="14.25" customHeight="1">
      <c r="A77" s="178" t="n"/>
      <c r="B77" s="290" t="inlineStr">
        <is>
          <t>With Respect to 
the Fund's LPs</t>
        </is>
      </c>
      <c r="C77" s="291" t="inlineStr">
        <is>
          <t>Management Fees - Net of Rebates, Gross of Offsets and Waivers</t>
        </is>
      </c>
      <c r="D77" s="185" t="n"/>
      <c r="E77" s="292">
        <f>-(E14+E15)</f>
        <v/>
      </c>
      <c r="F77" s="293">
        <f>-(F14+F15)</f>
        <v/>
      </c>
      <c r="G77" s="293">
        <f>-(G14+G15)</f>
        <v/>
      </c>
      <c r="H77" s="292">
        <f>-(H14+H15-K14-K15)</f>
        <v/>
      </c>
      <c r="I77" s="293">
        <f>-(I14+I15-L14-L15)</f>
        <v/>
      </c>
      <c r="J77" s="294">
        <f>-(J14+J15-M14-M15)</f>
        <v/>
      </c>
      <c r="K77" s="295" t="n"/>
      <c r="L77" s="185" t="n"/>
      <c r="M77" s="186" t="n"/>
      <c r="N77" s="179" t="n"/>
      <c r="O77" s="178" t="n"/>
      <c r="P77" s="178" t="n"/>
    </row>
    <row r="78" ht="14.25" customHeight="1">
      <c r="A78" s="178" t="n"/>
      <c r="B78" s="296" t="n"/>
      <c r="C78" s="297" t="inlineStr">
        <is>
          <t>Partnership Expenses - Paid to GP &amp; Related Parties - Gross of Offsets</t>
        </is>
      </c>
      <c r="D78" s="193" t="n"/>
      <c r="E78" s="222" t="n">
        <v>0</v>
      </c>
      <c r="F78" s="220" t="n">
        <v>0</v>
      </c>
      <c r="G78" s="220" t="n">
        <v>0</v>
      </c>
      <c r="H78" s="222" t="n">
        <v>0</v>
      </c>
      <c r="I78" s="220" t="n">
        <v>0</v>
      </c>
      <c r="J78" s="221" t="n">
        <v>0</v>
      </c>
      <c r="K78" s="193" t="n"/>
      <c r="L78" s="193" t="n"/>
      <c r="M78" s="194" t="n"/>
      <c r="N78" s="179" t="n"/>
      <c r="O78" s="178" t="n"/>
      <c r="P78" s="178" t="n"/>
    </row>
    <row r="79" ht="14.25" customHeight="1">
      <c r="A79" s="178" t="n"/>
      <c r="B79" s="296" t="n"/>
      <c r="C79" s="297" t="inlineStr">
        <is>
          <t>(Less Total Offsets to Fees &amp; Expenses - applied during period)</t>
        </is>
      </c>
      <c r="D79" s="193" t="n"/>
      <c r="E79" s="222">
        <f>-E26</f>
        <v/>
      </c>
      <c r="F79" s="220">
        <f>-F26</f>
        <v/>
      </c>
      <c r="G79" s="220">
        <f>-G26</f>
        <v/>
      </c>
      <c r="H79" s="222">
        <f>-H26</f>
        <v/>
      </c>
      <c r="I79" s="220">
        <f>-I26</f>
        <v/>
      </c>
      <c r="J79" s="221">
        <f>-J26</f>
        <v/>
      </c>
      <c r="K79" s="193" t="n"/>
      <c r="L79" s="193" t="n"/>
      <c r="M79" s="194" t="n"/>
      <c r="N79" s="179" t="n"/>
      <c r="O79" s="178" t="n"/>
      <c r="P79" s="178" t="n"/>
    </row>
    <row r="80" ht="14.25" customHeight="1">
      <c r="A80" s="178" t="n"/>
      <c r="B80" s="296" t="n"/>
      <c r="C80" s="297" t="inlineStr">
        <is>
          <t>Capitalized Transaction Fees &amp; Exp. - Paid to GP &amp; Related Parties****</t>
        </is>
      </c>
      <c r="D80" s="193" t="n"/>
      <c r="E80" s="222" t="n">
        <v>0</v>
      </c>
      <c r="F80" s="220" t="n">
        <v>0</v>
      </c>
      <c r="G80" s="220" t="n">
        <v>0</v>
      </c>
      <c r="H80" s="222" t="n">
        <v>0</v>
      </c>
      <c r="I80" s="220" t="n">
        <v>0</v>
      </c>
      <c r="J80" s="221" t="n">
        <v>0</v>
      </c>
      <c r="K80" s="193" t="n"/>
      <c r="L80" s="193" t="n"/>
      <c r="M80" s="194" t="n"/>
      <c r="N80" s="179" t="n"/>
      <c r="O80" s="178" t="n"/>
      <c r="P80" s="178" t="n"/>
    </row>
    <row r="81" ht="15" customHeight="1">
      <c r="A81" s="178" t="n"/>
      <c r="B81" s="298" t="n"/>
      <c r="C81" s="299" t="inlineStr">
        <is>
          <t>Accrued Incentive Allocation - Periodic Change</t>
        </is>
      </c>
      <c r="D81" s="181" t="n"/>
      <c r="E81" s="300">
        <f>-E54</f>
        <v/>
      </c>
      <c r="F81" s="301">
        <f>-F54</f>
        <v/>
      </c>
      <c r="G81" s="301">
        <f>-G54</f>
        <v/>
      </c>
      <c r="H81" s="300">
        <f>K54</f>
        <v/>
      </c>
      <c r="I81" s="301">
        <f>L54</f>
        <v/>
      </c>
      <c r="J81" s="302">
        <f>M54</f>
        <v/>
      </c>
      <c r="K81" s="181" t="n"/>
      <c r="L81" s="181" t="n"/>
      <c r="M81" s="198" t="n"/>
      <c r="N81" s="179" t="n"/>
      <c r="O81" s="178" t="n"/>
      <c r="P81" s="178" t="n"/>
    </row>
    <row r="82" ht="14.25" customHeight="1">
      <c r="A82" s="178" t="n"/>
      <c r="B82" s="290" t="inlineStr">
        <is>
          <t>With Respect to the Fund's Portfolio Companies/ Invs.</t>
        </is>
      </c>
      <c r="C82" s="303" t="inlineStr">
        <is>
          <t>Total Fees with Respect to Portfolio Companies/Investments:</t>
        </is>
      </c>
      <c r="D82" s="194" t="n"/>
      <c r="E82" s="222">
        <f>SUM(E83:E89)</f>
        <v/>
      </c>
      <c r="F82" s="220">
        <f>SUM(F83:F89)</f>
        <v/>
      </c>
      <c r="G82" s="220">
        <f>SUM(G83:G89)</f>
        <v/>
      </c>
      <c r="H82" s="222">
        <f>SUM(H83:H89)</f>
        <v/>
      </c>
      <c r="I82" s="220">
        <f>SUM(I83:I89)</f>
        <v/>
      </c>
      <c r="J82" s="221">
        <f>SUM(J83:J89)</f>
        <v/>
      </c>
      <c r="K82" s="284">
        <f>SUM(K83:K89)</f>
        <v/>
      </c>
      <c r="L82" s="285">
        <f>SUM(L83:L89)</f>
        <v/>
      </c>
      <c r="M82" s="286">
        <f>SUM(M83:M89)</f>
        <v/>
      </c>
      <c r="N82" s="179" t="n"/>
      <c r="O82" s="178" t="n"/>
      <c r="P82" s="178" t="n"/>
    </row>
    <row r="83" ht="14.25" customHeight="1">
      <c r="A83" s="178" t="n"/>
      <c r="B83" s="296" t="n"/>
      <c r="C83" s="304" t="inlineStr">
        <is>
          <t>Advisory Fees****</t>
        </is>
      </c>
      <c r="D83" s="193" t="n"/>
      <c r="E83" s="235" t="n">
        <v>0</v>
      </c>
      <c r="F83" s="233" t="n">
        <v>0</v>
      </c>
      <c r="G83" s="233" t="n">
        <v>0</v>
      </c>
      <c r="H83" s="235" t="n">
        <v>0</v>
      </c>
      <c r="I83" s="233" t="n">
        <v>0</v>
      </c>
      <c r="J83" s="234" t="n">
        <v>0</v>
      </c>
      <c r="K83" s="235" t="n">
        <v>0</v>
      </c>
      <c r="L83" s="233" t="n">
        <v>0</v>
      </c>
      <c r="M83" s="234" t="n">
        <v>0</v>
      </c>
      <c r="N83" s="179" t="n"/>
      <c r="O83" s="178" t="n"/>
      <c r="P83" s="178" t="n"/>
    </row>
    <row r="84" ht="14.25" customHeight="1">
      <c r="A84" s="178" t="n"/>
      <c r="B84" s="296" t="n"/>
      <c r="C84" s="304" t="inlineStr">
        <is>
          <t>Broken Deal Fees****</t>
        </is>
      </c>
      <c r="D84" s="193" t="n"/>
      <c r="E84" s="235" t="n">
        <v>0</v>
      </c>
      <c r="F84" s="233" t="n">
        <v>0</v>
      </c>
      <c r="G84" s="233" t="n">
        <v>0</v>
      </c>
      <c r="H84" s="235" t="n">
        <v>0</v>
      </c>
      <c r="I84" s="233" t="n">
        <v>0</v>
      </c>
      <c r="J84" s="234" t="n">
        <v>0</v>
      </c>
      <c r="K84" s="235" t="n">
        <v>0</v>
      </c>
      <c r="L84" s="233" t="n">
        <v>0</v>
      </c>
      <c r="M84" s="234" t="n">
        <v>0</v>
      </c>
      <c r="N84" s="179" t="n"/>
      <c r="O84" s="178" t="n"/>
      <c r="P84" s="178" t="n"/>
    </row>
    <row r="85" ht="14.25" customHeight="1">
      <c r="A85" s="178" t="n"/>
      <c r="B85" s="296" t="n"/>
      <c r="C85" s="304" t="inlineStr">
        <is>
          <t>Transaction &amp; Deal Fees****</t>
        </is>
      </c>
      <c r="D85" s="193" t="n"/>
      <c r="E85" s="235" t="n">
        <v>0</v>
      </c>
      <c r="F85" s="233" t="n">
        <v>0</v>
      </c>
      <c r="G85" s="233" t="n">
        <v>0</v>
      </c>
      <c r="H85" s="235" t="n">
        <v>0</v>
      </c>
      <c r="I85" s="233" t="n">
        <v>0</v>
      </c>
      <c r="J85" s="234" t="n">
        <v>0</v>
      </c>
      <c r="K85" s="235" t="n">
        <v>0</v>
      </c>
      <c r="L85" s="233" t="n">
        <v>0</v>
      </c>
      <c r="M85" s="234" t="n">
        <v>0</v>
      </c>
      <c r="N85" s="179" t="n"/>
      <c r="O85" s="178" t="n"/>
      <c r="P85" s="178" t="n"/>
    </row>
    <row r="86" ht="14.25" customHeight="1">
      <c r="A86" s="178" t="n"/>
      <c r="B86" s="296" t="n"/>
      <c r="C86" s="304" t="inlineStr">
        <is>
          <t>Directors Fees****</t>
        </is>
      </c>
      <c r="D86" s="193" t="n"/>
      <c r="E86" s="235" t="n">
        <v>0</v>
      </c>
      <c r="F86" s="233" t="n">
        <v>0</v>
      </c>
      <c r="G86" s="233" t="n">
        <v>0</v>
      </c>
      <c r="H86" s="235" t="n">
        <v>0</v>
      </c>
      <c r="I86" s="233" t="n">
        <v>0</v>
      </c>
      <c r="J86" s="234" t="n">
        <v>0</v>
      </c>
      <c r="K86" s="235" t="n">
        <v>0</v>
      </c>
      <c r="L86" s="233" t="n">
        <v>0</v>
      </c>
      <c r="M86" s="234" t="n">
        <v>0</v>
      </c>
      <c r="N86" s="179" t="n"/>
      <c r="O86" s="178" t="n"/>
      <c r="P86" s="178" t="n"/>
    </row>
    <row r="87" ht="14.25" customHeight="1">
      <c r="A87" s="178" t="n"/>
      <c r="B87" s="296" t="n"/>
      <c r="C87" s="304" t="inlineStr">
        <is>
          <t>Monitoring Fees****</t>
        </is>
      </c>
      <c r="D87" s="193" t="n"/>
      <c r="E87" s="235" t="n">
        <v>0</v>
      </c>
      <c r="F87" s="233" t="n">
        <v>0</v>
      </c>
      <c r="G87" s="233" t="n">
        <v>0</v>
      </c>
      <c r="H87" s="235" t="n">
        <v>0</v>
      </c>
      <c r="I87" s="233" t="n">
        <v>0</v>
      </c>
      <c r="J87" s="234" t="n">
        <v>0</v>
      </c>
      <c r="K87" s="235" t="n">
        <v>0</v>
      </c>
      <c r="L87" s="233" t="n">
        <v>0</v>
      </c>
      <c r="M87" s="234" t="n">
        <v>0</v>
      </c>
      <c r="N87" s="179" t="n"/>
      <c r="O87" s="178" t="n"/>
      <c r="P87" s="178" t="n"/>
    </row>
    <row r="88" ht="14.25" customHeight="1">
      <c r="A88" s="178" t="n"/>
      <c r="B88" s="296" t="n"/>
      <c r="C88" s="304" t="inlineStr">
        <is>
          <t>Capital Markets Fees****</t>
        </is>
      </c>
      <c r="D88" s="193" t="n"/>
      <c r="E88" s="235" t="n">
        <v>0</v>
      </c>
      <c r="F88" s="233" t="n">
        <v>0</v>
      </c>
      <c r="G88" s="233" t="n">
        <v>0</v>
      </c>
      <c r="H88" s="235" t="n">
        <v>0</v>
      </c>
      <c r="I88" s="233" t="n">
        <v>0</v>
      </c>
      <c r="J88" s="234" t="n">
        <v>0</v>
      </c>
      <c r="K88" s="235" t="n">
        <v>0</v>
      </c>
      <c r="L88" s="233" t="n">
        <v>0</v>
      </c>
      <c r="M88" s="234" t="n">
        <v>0</v>
      </c>
      <c r="N88" s="179" t="n"/>
      <c r="O88" s="178" t="n"/>
      <c r="P88" s="178" t="n"/>
    </row>
    <row r="89" ht="14.25" customHeight="1">
      <c r="A89" s="178" t="n"/>
      <c r="B89" s="296" t="n"/>
      <c r="C89" s="304" t="inlineStr">
        <is>
          <t>Other Fees****, +</t>
        </is>
      </c>
      <c r="D89" s="193" t="n"/>
      <c r="E89" s="235" t="n">
        <v>0</v>
      </c>
      <c r="F89" s="233" t="n">
        <v>0</v>
      </c>
      <c r="G89" s="233" t="n">
        <v>0</v>
      </c>
      <c r="H89" s="235" t="n">
        <v>0</v>
      </c>
      <c r="I89" s="233" t="n">
        <v>0</v>
      </c>
      <c r="J89" s="234" t="n">
        <v>0</v>
      </c>
      <c r="K89" s="235" t="n">
        <v>0</v>
      </c>
      <c r="L89" s="233" t="n">
        <v>0</v>
      </c>
      <c r="M89" s="234" t="n">
        <v>0</v>
      </c>
      <c r="N89" s="179" t="n"/>
      <c r="O89" s="178" t="n"/>
      <c r="P89" s="178" t="n"/>
    </row>
    <row r="90" ht="15" customHeight="1">
      <c r="A90" s="178" t="n"/>
      <c r="B90" s="298" t="n"/>
      <c r="C90" s="305" t="inlineStr">
        <is>
          <t>Total Reimbursements for Travel &amp; Administrative Expenses****</t>
        </is>
      </c>
      <c r="D90" s="198" t="n"/>
      <c r="E90" s="300" t="n">
        <v>0</v>
      </c>
      <c r="F90" s="301" t="n">
        <v>0</v>
      </c>
      <c r="G90" s="301" t="n">
        <v>0</v>
      </c>
      <c r="H90" s="300" t="n">
        <v>0</v>
      </c>
      <c r="I90" s="301" t="n">
        <v>0</v>
      </c>
      <c r="J90" s="301" t="n">
        <v>0</v>
      </c>
      <c r="K90" s="300" t="n">
        <v>0</v>
      </c>
      <c r="L90" s="301" t="n">
        <v>0</v>
      </c>
      <c r="M90" s="302" t="n">
        <v>0</v>
      </c>
      <c r="N90" s="179" t="n"/>
      <c r="O90" s="178" t="n"/>
      <c r="P90" s="178" t="n"/>
    </row>
    <row r="91" ht="15" customHeight="1">
      <c r="A91" s="207" t="n"/>
      <c r="B91" s="306" t="inlineStr">
        <is>
          <t>Total Received by the GP &amp; Related Parties</t>
        </is>
      </c>
      <c r="C91" s="209" t="n"/>
      <c r="D91" s="210" t="n"/>
      <c r="E91" s="277">
        <f>SUM(E77:E82,E90)</f>
        <v/>
      </c>
      <c r="F91" s="278">
        <f>SUM(F77:F82,F90)</f>
        <v/>
      </c>
      <c r="G91" s="279">
        <f>SUM(G77:G82,G90)</f>
        <v/>
      </c>
      <c r="H91" s="277">
        <f>SUM(H77:H82,H90)</f>
        <v/>
      </c>
      <c r="I91" s="278">
        <f>SUM(I77:I82,I90)</f>
        <v/>
      </c>
      <c r="J91" s="279">
        <f>SUM(J77:J82,J90)</f>
        <v/>
      </c>
      <c r="K91" s="277">
        <f>SUM(K77:K82,K90)</f>
        <v/>
      </c>
      <c r="L91" s="278">
        <f>SUM(L77:L82,L90)</f>
        <v/>
      </c>
      <c r="M91" s="279">
        <f>SUM(M77:M82,M90)</f>
        <v/>
      </c>
      <c r="N91" s="213" t="n"/>
      <c r="O91" s="207" t="n"/>
      <c r="P91" s="207" t="n"/>
    </row>
    <row r="92">
      <c r="A92" s="178" t="n"/>
      <c r="B92" s="178" t="n"/>
      <c r="C92" s="207" t="n"/>
      <c r="D92" s="207" t="n"/>
      <c r="E92" s="307" t="n"/>
      <c r="F92" s="307" t="n"/>
      <c r="G92" s="307" t="n"/>
      <c r="H92" s="307" t="n"/>
      <c r="I92" s="307" t="n"/>
      <c r="J92" s="307" t="n"/>
      <c r="K92" s="307" t="n"/>
      <c r="L92" s="307" t="n"/>
      <c r="M92" s="307" t="n"/>
      <c r="N92" s="179" t="n"/>
      <c r="O92" s="178" t="n"/>
      <c r="P92" s="178" t="n"/>
    </row>
    <row r="93">
      <c r="A93" s="207" t="n"/>
      <c r="B93" s="203" t="inlineStr">
        <is>
          <t>*Current offset percentages for the specific LP; As offset calculations may change over the life of the Fund, the current offset percentages may not be applicable for calculating the non-QTD offset balances</t>
        </is>
      </c>
      <c r="C93" s="193" t="n"/>
      <c r="D93" s="193" t="n"/>
      <c r="E93" s="193" t="n"/>
      <c r="F93" s="193" t="n"/>
      <c r="G93" s="193" t="n"/>
      <c r="H93" s="193" t="n"/>
      <c r="I93" s="193" t="n"/>
      <c r="J93" s="193" t="n"/>
      <c r="K93" s="193" t="n"/>
      <c r="L93" s="193" t="n"/>
      <c r="M93" s="193" t="n"/>
      <c r="N93" s="213" t="n"/>
      <c r="O93" s="207" t="n"/>
      <c r="P93" s="207" t="n"/>
    </row>
    <row r="94" ht="14.25" customHeight="1">
      <c r="A94" s="178" t="n"/>
      <c r="B94" s="308" t="inlineStr">
        <is>
          <t>**Content in A.3 aims to provide users with additional context on the balances provided in other sections;  Some of the balances in A.3 represent a sub-total for an amount provided in another section;  Balances in this section should be entered as a positive amount, even though similar balances in other sections may typically be presented as a negative amount; To prevent double-counting, or other miscalculations, users should avoid netting balances in A.3 with amounts in other sections</t>
        </is>
      </c>
      <c r="C94" s="193" t="n"/>
      <c r="D94" s="193" t="n"/>
      <c r="E94" s="193" t="n"/>
      <c r="F94" s="193" t="n"/>
      <c r="G94" s="193" t="n"/>
      <c r="H94" s="193" t="n"/>
      <c r="I94" s="193" t="n"/>
      <c r="J94" s="193" t="n"/>
      <c r="K94" s="193" t="n"/>
      <c r="L94" s="193" t="n"/>
      <c r="M94" s="193" t="n"/>
      <c r="N94" s="179" t="n"/>
      <c r="O94" s="178" t="n"/>
      <c r="P94" s="178" t="n"/>
    </row>
    <row r="95" ht="14.25" customHeight="1">
      <c r="A95" s="178" t="n"/>
      <c r="B95" s="308" t="inlineStr">
        <is>
          <t>***Balances in this section represent fees &amp; reimbursements received by the GP/Manager/Related Parties with respect to the Fund's investments that are not allocable to the Total Fund (i.e. allocated to ownership interests of LP co-investors &amp; other vehicles managed-by/affiliated-with the GP/Manager/Related Party); To avoid double-counting, LP # 5's Allocation of Total Fund should not reflect any pro-rata share of these positions; Balances in this section, plus the balances in the "Cumulative LPs' Allocation of Total Fund" section, should equal the total fees/reimbursements received by the GP/Manager/Related Parties With Respect to the Fund's Portfolio Companies/Invs.</t>
        </is>
      </c>
      <c r="C95" s="193" t="n"/>
      <c r="D95" s="193" t="n"/>
      <c r="E95" s="193" t="n"/>
      <c r="F95" s="193" t="n"/>
      <c r="G95" s="193" t="n"/>
      <c r="H95" s="193" t="n"/>
      <c r="I95" s="193" t="n"/>
      <c r="J95" s="193" t="n"/>
      <c r="K95" s="193" t="n"/>
      <c r="L95" s="193" t="n"/>
      <c r="M95" s="193" t="n"/>
      <c r="N95" s="179" t="n"/>
      <c r="O95" s="178" t="n"/>
      <c r="P95" s="178" t="n"/>
    </row>
    <row r="96">
      <c r="A96" s="178" t="n"/>
      <c r="B96" s="203" t="inlineStr">
        <is>
          <t>****Allocation for individual LPs, the Total Fund and all remaining positions may need to be estimated on a pro-rata basis</t>
        </is>
      </c>
      <c r="C96" s="193" t="n"/>
      <c r="D96" s="193" t="n"/>
      <c r="E96" s="193" t="n"/>
      <c r="F96" s="193" t="n"/>
      <c r="G96" s="193" t="n"/>
      <c r="H96" s="193" t="n"/>
      <c r="I96" s="193" t="n"/>
      <c r="J96" s="193" t="n"/>
      <c r="K96" s="193" t="n"/>
      <c r="L96" s="193" t="n"/>
      <c r="M96" s="193" t="n"/>
      <c r="N96" s="179" t="n"/>
      <c r="O96" s="178" t="n"/>
      <c r="P96" s="178" t="n"/>
    </row>
    <row r="97">
      <c r="A97" s="178" t="n"/>
      <c r="B97" s="203" t="inlineStr">
        <is>
          <t>+A description should be provided in the footnote section for any amount(s) listed in this row for the year-to-date period</t>
        </is>
      </c>
      <c r="C97" s="193" t="n"/>
      <c r="D97" s="193" t="n"/>
      <c r="E97" s="193" t="n"/>
      <c r="F97" s="193" t="n"/>
      <c r="G97" s="193" t="n"/>
      <c r="H97" s="193" t="n"/>
      <c r="I97" s="193" t="n"/>
      <c r="J97" s="193" t="n"/>
      <c r="K97" s="193" t="n"/>
      <c r="L97" s="193" t="n"/>
      <c r="M97" s="193" t="n"/>
      <c r="N97" s="179" t="n"/>
      <c r="O97" s="178" t="n"/>
      <c r="P97" s="178" t="n"/>
    </row>
    <row r="98" ht="15" customHeight="1">
      <c r="A98" s="178" t="n"/>
      <c r="B98" s="203" t="n"/>
      <c r="C98" s="193" t="n"/>
      <c r="D98" s="193" t="n"/>
      <c r="E98" s="193" t="n"/>
      <c r="F98" s="193" t="n"/>
      <c r="G98" s="193" t="n"/>
      <c r="H98" s="193" t="n"/>
      <c r="I98" s="193" t="n"/>
      <c r="J98" s="193" t="n"/>
      <c r="K98" s="193" t="n"/>
      <c r="L98" s="193" t="n"/>
      <c r="M98" s="193" t="n"/>
      <c r="N98" s="179" t="n"/>
      <c r="O98" s="178" t="n"/>
      <c r="P98" s="178" t="n"/>
    </row>
    <row r="99" ht="15" customHeight="1">
      <c r="A99" s="178" t="n"/>
      <c r="B99" s="208" t="inlineStr">
        <is>
          <t>Shaded/Italicized/Grouped Content Represents Level 2 Data</t>
        </is>
      </c>
      <c r="C99" s="210" t="n"/>
      <c r="D99" s="178" t="n"/>
      <c r="E99" s="178" t="n"/>
      <c r="F99" s="178" t="n"/>
      <c r="G99" s="178" t="n"/>
      <c r="H99" s="178" t="n"/>
      <c r="I99" s="178" t="n"/>
      <c r="J99" s="178" t="n"/>
      <c r="K99" s="178" t="n"/>
      <c r="L99" s="178" t="n"/>
      <c r="M99" s="178" t="n"/>
      <c r="N99" s="179" t="n"/>
      <c r="O99" s="178" t="n"/>
      <c r="P99" s="178" t="n"/>
    </row>
    <row r="100" ht="15" customHeight="1">
      <c r="A100" s="178" t="n"/>
      <c r="B100" s="309" t="n"/>
      <c r="C100" s="309" t="n"/>
      <c r="D100" s="178" t="n"/>
      <c r="E100" s="178" t="n"/>
      <c r="F100" s="178" t="n"/>
      <c r="G100" s="178" t="n"/>
      <c r="H100" s="178" t="n"/>
      <c r="I100" s="178" t="n"/>
      <c r="J100" s="178" t="n"/>
      <c r="K100" s="178" t="n"/>
      <c r="L100" s="178" t="n"/>
      <c r="M100" s="178" t="n"/>
      <c r="N100" s="179" t="n"/>
      <c r="O100" s="178" t="n"/>
      <c r="P100" s="178" t="n"/>
    </row>
    <row r="101">
      <c r="A101" s="178" t="n"/>
      <c r="B101" s="310" t="inlineStr">
        <is>
          <t>Footnotes for any YTD (Total Fund) expenses, fees &amp; offsets (including any "other" balances)</t>
        </is>
      </c>
      <c r="C101" s="185" t="n"/>
      <c r="D101" s="185" t="n"/>
      <c r="E101" s="185" t="n"/>
      <c r="F101" s="185" t="n"/>
      <c r="G101" s="185" t="n"/>
      <c r="H101" s="185" t="n"/>
      <c r="I101" s="185" t="n"/>
      <c r="J101" s="185" t="n"/>
      <c r="K101" s="185" t="n"/>
      <c r="L101" s="185" t="n"/>
      <c r="M101" s="186" t="n"/>
      <c r="N101" s="179" t="n"/>
      <c r="O101" s="178" t="n"/>
      <c r="P101" s="178" t="n"/>
    </row>
    <row r="102">
      <c r="A102" s="178" t="n"/>
      <c r="B102" s="311" t="n"/>
      <c r="C102" s="193" t="n"/>
      <c r="D102" s="193" t="n"/>
      <c r="E102" s="193" t="n"/>
      <c r="F102" s="193" t="n"/>
      <c r="G102" s="193" t="n"/>
      <c r="H102" s="193" t="n"/>
      <c r="I102" s="193" t="n"/>
      <c r="J102" s="193" t="n"/>
      <c r="K102" s="193" t="n"/>
      <c r="L102" s="193" t="n"/>
      <c r="M102" s="194" t="n"/>
      <c r="N102" s="179" t="n"/>
      <c r="O102" s="178" t="n"/>
      <c r="P102" s="178" t="n"/>
    </row>
    <row r="103">
      <c r="A103" s="178" t="n"/>
      <c r="B103" s="312" t="n"/>
      <c r="C103" s="193" t="n"/>
      <c r="D103" s="193" t="n"/>
      <c r="E103" s="193" t="n"/>
      <c r="F103" s="193" t="n"/>
      <c r="G103" s="193" t="n"/>
      <c r="H103" s="193" t="n"/>
      <c r="I103" s="193" t="n"/>
      <c r="J103" s="193" t="n"/>
      <c r="K103" s="193" t="n"/>
      <c r="L103" s="193" t="n"/>
      <c r="M103" s="194" t="n"/>
      <c r="N103" s="179" t="n"/>
      <c r="O103" s="178" t="n"/>
      <c r="P103" s="178" t="n"/>
    </row>
    <row r="104">
      <c r="A104" s="178" t="n"/>
      <c r="B104" s="312" t="n"/>
      <c r="C104" s="193" t="n"/>
      <c r="D104" s="193" t="n"/>
      <c r="E104" s="193" t="n"/>
      <c r="F104" s="193" t="n"/>
      <c r="G104" s="193" t="n"/>
      <c r="H104" s="193" t="n"/>
      <c r="I104" s="193" t="n"/>
      <c r="J104" s="193" t="n"/>
      <c r="K104" s="193" t="n"/>
      <c r="L104" s="193" t="n"/>
      <c r="M104" s="194" t="n"/>
      <c r="N104" s="179" t="n"/>
      <c r="O104" s="178" t="n"/>
      <c r="P104" s="178" t="n"/>
    </row>
    <row r="105">
      <c r="A105" s="178" t="n"/>
      <c r="B105" s="311" t="n"/>
      <c r="C105" s="193" t="n"/>
      <c r="D105" s="193" t="n"/>
      <c r="E105" s="193" t="n"/>
      <c r="F105" s="193" t="n"/>
      <c r="G105" s="193" t="n"/>
      <c r="H105" s="193" t="n"/>
      <c r="I105" s="193" t="n"/>
      <c r="J105" s="193" t="n"/>
      <c r="K105" s="193" t="n"/>
      <c r="L105" s="193" t="n"/>
      <c r="M105" s="194" t="n"/>
      <c r="N105" s="179" t="n"/>
      <c r="O105" s="178" t="n"/>
      <c r="P105" s="178" t="n"/>
    </row>
    <row r="106" ht="15" customHeight="1">
      <c r="A106" s="178" t="n"/>
      <c r="B106" s="313" t="n"/>
      <c r="C106" s="181" t="n"/>
      <c r="D106" s="181" t="n"/>
      <c r="E106" s="181" t="n"/>
      <c r="F106" s="181" t="n"/>
      <c r="G106" s="181" t="n"/>
      <c r="H106" s="181" t="n"/>
      <c r="I106" s="181" t="n"/>
      <c r="J106" s="181" t="n"/>
      <c r="K106" s="181" t="n"/>
      <c r="L106" s="181" t="n"/>
      <c r="M106" s="198" t="n"/>
      <c r="N106" s="179" t="n"/>
      <c r="O106" s="178" t="n"/>
      <c r="P106" s="178" t="n"/>
    </row>
  </sheetData>
  <mergeCells count="120">
    <mergeCell ref="B11:D11"/>
    <mergeCell ref="B2:M2"/>
    <mergeCell ref="B42:D42"/>
    <mergeCell ref="B60:D60"/>
    <mergeCell ref="E13:G13"/>
    <mergeCell ref="B82:B90"/>
    <mergeCell ref="C89:D89"/>
    <mergeCell ref="B44:D44"/>
    <mergeCell ref="B31:C31"/>
    <mergeCell ref="K71:M73"/>
    <mergeCell ref="C79:D79"/>
    <mergeCell ref="C54:D54"/>
    <mergeCell ref="K27:M27"/>
    <mergeCell ref="C56:D56"/>
    <mergeCell ref="B20:D20"/>
    <mergeCell ref="B94:M94"/>
    <mergeCell ref="E58:G58"/>
    <mergeCell ref="B37:B40"/>
    <mergeCell ref="B62:D62"/>
    <mergeCell ref="B72:D72"/>
    <mergeCell ref="B7:M7"/>
    <mergeCell ref="B33:C33"/>
    <mergeCell ref="H58:J58"/>
    <mergeCell ref="B32:C32"/>
    <mergeCell ref="B70:D70"/>
    <mergeCell ref="B96:M96"/>
    <mergeCell ref="B43:D43"/>
    <mergeCell ref="B105:M105"/>
    <mergeCell ref="B35:C35"/>
    <mergeCell ref="C83:D83"/>
    <mergeCell ref="B98:M98"/>
    <mergeCell ref="B8:D8"/>
    <mergeCell ref="B17:D17"/>
    <mergeCell ref="B73:D73"/>
    <mergeCell ref="B27:C27"/>
    <mergeCell ref="B10:D10"/>
    <mergeCell ref="K8:M8"/>
    <mergeCell ref="B19:D19"/>
    <mergeCell ref="B9:D9"/>
    <mergeCell ref="B68:D68"/>
    <mergeCell ref="C40:D40"/>
    <mergeCell ref="C90:D90"/>
    <mergeCell ref="B29:C29"/>
    <mergeCell ref="B76:D76"/>
    <mergeCell ref="B45:D45"/>
    <mergeCell ref="B47:D47"/>
    <mergeCell ref="H67:J67"/>
    <mergeCell ref="B59:D59"/>
    <mergeCell ref="C82:D82"/>
    <mergeCell ref="B46:D46"/>
    <mergeCell ref="B77:B81"/>
    <mergeCell ref="E8:G8"/>
    <mergeCell ref="B21:D21"/>
    <mergeCell ref="C53:D53"/>
    <mergeCell ref="B48:D48"/>
    <mergeCell ref="K76:M76"/>
    <mergeCell ref="C77:D77"/>
    <mergeCell ref="C86:D86"/>
    <mergeCell ref="B14:D14"/>
    <mergeCell ref="B23:D23"/>
    <mergeCell ref="B13:D13"/>
    <mergeCell ref="K67:M67"/>
    <mergeCell ref="C78:D78"/>
    <mergeCell ref="C85:D85"/>
    <mergeCell ref="K77:M81"/>
    <mergeCell ref="H13:J13"/>
    <mergeCell ref="B49:D49"/>
    <mergeCell ref="C84:D84"/>
    <mergeCell ref="B65:D65"/>
    <mergeCell ref="C80:D80"/>
    <mergeCell ref="B51:D51"/>
    <mergeCell ref="H76:J76"/>
    <mergeCell ref="B63:D63"/>
    <mergeCell ref="B41:D41"/>
    <mergeCell ref="K13:M13"/>
    <mergeCell ref="B34:C34"/>
    <mergeCell ref="B50:D50"/>
    <mergeCell ref="B28:C28"/>
    <mergeCell ref="H8:J8"/>
    <mergeCell ref="B99:C99"/>
    <mergeCell ref="B91:D91"/>
    <mergeCell ref="B25:D25"/>
    <mergeCell ref="B30:C30"/>
    <mergeCell ref="B52:B56"/>
    <mergeCell ref="C38:D38"/>
    <mergeCell ref="B3:D5"/>
    <mergeCell ref="B22:D22"/>
    <mergeCell ref="B93:M93"/>
    <mergeCell ref="B102:M102"/>
    <mergeCell ref="B12:D12"/>
    <mergeCell ref="B67:D67"/>
    <mergeCell ref="B61:D61"/>
    <mergeCell ref="B101:M101"/>
    <mergeCell ref="K58:M58"/>
    <mergeCell ref="C88:D88"/>
    <mergeCell ref="B69:D69"/>
    <mergeCell ref="B103:M103"/>
    <mergeCell ref="C55:D55"/>
    <mergeCell ref="B15:D15"/>
    <mergeCell ref="E76:G76"/>
    <mergeCell ref="B24:D24"/>
    <mergeCell ref="B64:D64"/>
    <mergeCell ref="B95:M95"/>
    <mergeCell ref="B104:M104"/>
    <mergeCell ref="B26:D26"/>
    <mergeCell ref="N74:N75"/>
    <mergeCell ref="C52:D52"/>
    <mergeCell ref="B97:M97"/>
    <mergeCell ref="B106:M106"/>
    <mergeCell ref="C39:D39"/>
    <mergeCell ref="B16:D16"/>
    <mergeCell ref="E67:G67"/>
    <mergeCell ref="B71:D71"/>
    <mergeCell ref="C81:D81"/>
    <mergeCell ref="C37:D37"/>
    <mergeCell ref="B18:D18"/>
    <mergeCell ref="B36:C36"/>
    <mergeCell ref="B58:D58"/>
    <mergeCell ref="B74:M75"/>
    <mergeCell ref="C87:D87"/>
  </mergeCells>
  <pageMargins left="0.7" right="0.7" top="0.75" bottom="0.75" header="0.511805555555556" footer="0.511805555555556"/>
  <pageSetup orientation="portrait" paperSize="9" horizontalDpi="300" verticalDpi="300"/>
  <headerFooter>
    <oddHeader>&amp;C&amp;1  Confidential - Internal Information#</oddHeader>
    <oddFooter>&amp;C&amp;10 _x000a_# Confidential - Internal Information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Rafaela Spyrou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2026-05-16T07:46:01Z</dcterms:modified>
  <cp:lastModifiedBy>hp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0x01010078E665250244CB41B9B8D899BDA5A648</vt:lpwstr>
  </property>
  <property name="HyperlinksChanged" fmtid="{D5CDD505-2E9C-101B-9397-08002B2CF9AE}" pid="3">
    <vt:bool xmlns:vt="http://schemas.openxmlformats.org/officeDocument/2006/docPropsVTypes">0</vt:bool>
  </property>
  <property name="ICV" fmtid="{D5CDD505-2E9C-101B-9397-08002B2CF9AE}" pid="4">
    <vt:lpwstr xmlns:vt="http://schemas.openxmlformats.org/officeDocument/2006/docPropsVTypes">E594F9CAEF264E1B9CBC785A3A150C74_12</vt:lpwstr>
  </property>
  <property name="KSOProductBuildVer" fmtid="{D5CDD505-2E9C-101B-9397-08002B2CF9AE}" pid="5">
    <vt:lpwstr xmlns:vt="http://schemas.openxmlformats.org/officeDocument/2006/docPropsVTypes">2057-12.2.0.23202</vt:lpwstr>
  </property>
  <property name="LinksUpToDate" fmtid="{D5CDD505-2E9C-101B-9397-08002B2CF9AE}" pid="6">
    <vt:bool xmlns:vt="http://schemas.openxmlformats.org/officeDocument/2006/docPropsVTypes">0</vt:bool>
  </property>
  <property name="MSIP_Label_f7f97eba-7ea7-41d2-a730-578d3af7300c_ActionId" fmtid="{D5CDD505-2E9C-101B-9397-08002B2CF9AE}" pid="7">
    <vt:lpwstr xmlns:vt="http://schemas.openxmlformats.org/officeDocument/2006/docPropsVTypes">5b0c13ce-7400-43a4-b776-e5763b7b3154</vt:lpwstr>
  </property>
  <property name="MSIP_Label_f7f97eba-7ea7-41d2-a730-578d3af7300c_ContentBits" fmtid="{D5CDD505-2E9C-101B-9397-08002B2CF9AE}" pid="8">
    <vt:lpwstr xmlns:vt="http://schemas.openxmlformats.org/officeDocument/2006/docPropsVTypes">3</vt:lpwstr>
  </property>
  <property name="MSIP_Label_f7f97eba-7ea7-41d2-a730-578d3af7300c_Enabled" fmtid="{D5CDD505-2E9C-101B-9397-08002B2CF9AE}" pid="9">
    <vt:lpwstr xmlns:vt="http://schemas.openxmlformats.org/officeDocument/2006/docPropsVTypes">true</vt:lpwstr>
  </property>
  <property name="MSIP_Label_f7f97eba-7ea7-41d2-a730-578d3af7300c_Method" fmtid="{D5CDD505-2E9C-101B-9397-08002B2CF9AE}" pid="10">
    <vt:lpwstr xmlns:vt="http://schemas.openxmlformats.org/officeDocument/2006/docPropsVTypes">Privileged</vt:lpwstr>
  </property>
  <property name="MSIP_Label_f7f97eba-7ea7-41d2-a730-578d3af7300c_Name" fmtid="{D5CDD505-2E9C-101B-9397-08002B2CF9AE}" pid="11">
    <vt:lpwstr xmlns:vt="http://schemas.openxmlformats.org/officeDocument/2006/docPropsVTypes">Confidential - Internal</vt:lpwstr>
  </property>
  <property name="MSIP_Label_f7f97eba-7ea7-41d2-a730-578d3af7300c_SetDate" fmtid="{D5CDD505-2E9C-101B-9397-08002B2CF9AE}" pid="12">
    <vt:lpwstr xmlns:vt="http://schemas.openxmlformats.org/officeDocument/2006/docPropsVTypes">2022-05-23T09:29:06Z</vt:lpwstr>
  </property>
  <property name="MSIP_Label_f7f97eba-7ea7-41d2-a730-578d3af7300c_SiteId" fmtid="{D5CDD505-2E9C-101B-9397-08002B2CF9AE}" pid="13">
    <vt:lpwstr xmlns:vt="http://schemas.openxmlformats.org/officeDocument/2006/docPropsVTypes">9d1f0723-d711-4aab-b0a8-7780c86185f2</vt:lpwstr>
  </property>
  <property name="MediaServiceImageTags" fmtid="{D5CDD505-2E9C-101B-9397-08002B2CF9AE}" pid="14">
    <vt:lpwstr xmlns:vt="http://schemas.openxmlformats.org/officeDocument/2006/docPropsVTypes"/>
  </property>
  <property name="Order" fmtid="{D5CDD505-2E9C-101B-9397-08002B2CF9AE}" pid="15">
    <vt:r8 xmlns:vt="http://schemas.openxmlformats.org/officeDocument/2006/docPropsVTypes">459600</vt:r8>
  </property>
  <property name="ScaleCrop" fmtid="{D5CDD505-2E9C-101B-9397-08002B2CF9AE}" pid="16">
    <vt:bool xmlns:vt="http://schemas.openxmlformats.org/officeDocument/2006/docPropsVTypes">0</vt:bool>
  </property>
  <property name="ShareDoc" fmtid="{D5CDD505-2E9C-101B-9397-08002B2CF9AE}" pid="17">
    <vt:bool xmlns:vt="http://schemas.openxmlformats.org/officeDocument/2006/docPropsVTypes">0</vt:bool>
  </property>
</Properties>
</file>